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Dashboard" sheetId="1" state="visible" r:id="rId1"/>
    <sheet xmlns:r="http://schemas.openxmlformats.org/officeDocument/2006/relationships" name="Workstream Summary" sheetId="2" state="visible" r:id="rId2"/>
    <sheet xmlns:r="http://schemas.openxmlformats.org/officeDocument/2006/relationships" name="Owner Summary" sheetId="3" state="visible" r:id="rId3"/>
    <sheet xmlns:r="http://schemas.openxmlformats.org/officeDocument/2006/relationships" name="Master Checklist" sheetId="4" state="visible" r:id="rId4"/>
    <sheet xmlns:r="http://schemas.openxmlformats.org/officeDocument/2006/relationships" name="Gates &amp; Blockers" sheetId="5" state="visible" r:id="rId5"/>
  </sheets>
  <definedNames>
    <definedName name="_xlnm._FilterDatabase" localSheetId="3" hidden="1">'Master Checklist'!$A$4:$P$69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DE9D9"/>
        <bgColor rgb="00FDE9D9"/>
      </patternFill>
    </fill>
    <fill>
      <patternFill patternType="solid">
        <fgColor rgb="00EBF1DE"/>
        <bgColor rgb="00EBF1DE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0" borderId="1" pivotButton="0" quotePrefix="0" xfId="0"/>
    <xf numFmtId="0" fontId="5" fillId="7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7" borderId="2" pivotButton="0" quotePrefix="0" xfId="0"/>
    <xf numFmtId="0" fontId="5" fillId="7" borderId="2" applyAlignment="1" pivotButton="0" quotePrefix="0" xfId="0">
      <alignment horizontal="center"/>
    </xf>
    <xf numFmtId="164" fontId="5" fillId="7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18" customWidth="1" min="4" max="4"/>
    <col width="42" customWidth="1" min="5" max="5"/>
  </cols>
  <sheetData>
    <row r="1">
      <c r="A1" s="1" t="inlineStr">
        <is>
          <t>TMK IT Solutions LLP — Franchise Launch Readiness Dashboard</t>
        </is>
      </c>
    </row>
    <row r="2">
      <c r="A2" s="2" t="inlineStr">
        <is>
          <t>Master 12-Workstream Readiness Tracker | Version 1.0.0 | Updated 2026-10-26</t>
        </is>
      </c>
    </row>
    <row r="3"/>
    <row r="4">
      <c r="A4" s="3" t="inlineStr">
        <is>
          <t>EXECUTIVE READINESS KPIS</t>
        </is>
      </c>
    </row>
    <row r="5">
      <c r="A5" s="4" t="inlineStr">
        <is>
          <t>Metric Description</t>
        </is>
      </c>
      <c r="B5" s="5" t="inlineStr">
        <is>
          <t>Value</t>
        </is>
      </c>
      <c r="C5" s="4" t="inlineStr">
        <is>
          <t>Notes &amp; Status Interpretation</t>
        </is>
      </c>
    </row>
    <row r="6">
      <c r="A6" s="6" t="inlineStr">
        <is>
          <t>Total Program Tasks</t>
        </is>
      </c>
      <c r="B6" s="7">
        <f>COUNTA('Master Checklist'!A5:A80)</f>
        <v/>
      </c>
      <c r="C6" s="8" t="inlineStr">
        <is>
          <t>Total itemized deliverables across 12 workstreams</t>
        </is>
      </c>
    </row>
    <row r="7">
      <c r="A7" s="6" t="inlineStr">
        <is>
          <t>Approved / Verified Tasks</t>
        </is>
      </c>
      <c r="B7" s="7">
        <f>COUNTIF('Master Checklist'!G5:G80, "Document Approved") + COUNTIF('Master Checklist'!G5:G80, "Process Implemented") + COUNTIF('Master Checklist'!G5:G80, "Process Verified")</f>
        <v/>
      </c>
      <c r="C7" s="8" t="inlineStr">
        <is>
          <t>Formally verified deliverables meeting acceptance criteria</t>
        </is>
      </c>
    </row>
    <row r="8">
      <c r="A8" s="6" t="inlineStr">
        <is>
          <t>In Progress / Draft Tasks</t>
        </is>
      </c>
      <c r="B8" s="7">
        <f>COUNTIF('Master Checklist'!G5:G80, "In Progress") + COUNTIF('Master Checklist'!G5:G80, "Document Created") + COUNTIF('Master Checklist'!G5:G80, "Document Reviewed")</f>
        <v/>
      </c>
      <c r="C8" s="8" t="inlineStr">
        <is>
          <t>Active work underway across business and engineering units</t>
        </is>
      </c>
    </row>
    <row r="9">
      <c r="A9" s="6" t="inlineStr">
        <is>
          <t>Not Started Tasks</t>
        </is>
      </c>
      <c r="B9" s="7">
        <f>COUNTIF('Master Checklist'!G5:G80, "Not Started")</f>
        <v/>
      </c>
      <c r="C9" s="8" t="inlineStr">
        <is>
          <t>Post-launch or milestone deliverables scheduled for future waves</t>
        </is>
      </c>
    </row>
    <row r="10">
      <c r="A10" s="6" t="inlineStr">
        <is>
          <t>Active Critical Blockers</t>
        </is>
      </c>
      <c r="B10" s="9">
        <f>COUNTIFS('Master Checklist'!O5:O80, TRUE, 'Master Checklist'!G5:G80, "&lt;&gt;Document Approved", 'Master Checklist'!G5:G80, "&lt;&gt;Process Verified")</f>
        <v/>
      </c>
      <c r="C10" s="8" t="inlineStr">
        <is>
          <t>Systemic defects or unvetted contracts that veto gate passage</t>
        </is>
      </c>
    </row>
    <row r="11">
      <c r="A11" s="6" t="inlineStr">
        <is>
          <t>Launch Readiness Completion %</t>
        </is>
      </c>
      <c r="B11" s="10">
        <f>ROUND((B6/B5)*100, 1)</f>
        <v/>
      </c>
      <c r="C11" s="8" t="inlineStr">
        <is>
          <t>Weighted percentage of verified deliverables vs total scope</t>
        </is>
      </c>
    </row>
    <row r="12"/>
    <row r="13">
      <c r="A13" s="3" t="inlineStr">
        <is>
          <t>SIX SEQUENTIAL LAUNCH GATES</t>
        </is>
      </c>
    </row>
    <row r="14">
      <c r="A14" s="5" t="inlineStr">
        <is>
          <t>Gate ID</t>
        </is>
      </c>
      <c r="B14" s="4" t="inlineStr">
        <is>
          <t>Gate Name</t>
        </is>
      </c>
      <c r="C14" s="5" t="inlineStr">
        <is>
          <t>Target Date</t>
        </is>
      </c>
      <c r="D14" s="5" t="inlineStr">
        <is>
          <t>Current Status</t>
        </is>
      </c>
      <c r="E14" s="4" t="inlineStr">
        <is>
          <t>Workstreams Governed</t>
        </is>
      </c>
    </row>
    <row r="15">
      <c r="A15" s="11" t="inlineStr">
        <is>
          <t>GATE-1</t>
        </is>
      </c>
      <c r="B15" s="6" t="inlineStr">
        <is>
          <t>Gate 1: Business Model Approved</t>
        </is>
      </c>
      <c r="C15" s="11" t="inlineStr">
        <is>
          <t>2026-11-15</t>
        </is>
      </c>
      <c r="D15" s="12" t="inlineStr">
        <is>
          <t>Gate Cleared</t>
        </is>
      </c>
      <c r="E15" s="13" t="inlineStr">
        <is>
          <t>Business Model &amp; Commercial Strategy, Finance, Banking &amp; Accounting</t>
        </is>
      </c>
    </row>
    <row r="16">
      <c r="A16" s="11" t="inlineStr">
        <is>
          <t>GATE-2</t>
        </is>
      </c>
      <c r="B16" s="6" t="inlineStr">
        <is>
          <t>Gate 2: Legal &amp; Financial Readiness</t>
        </is>
      </c>
      <c r="C16" s="11" t="inlineStr">
        <is>
          <t>2026-12-01</t>
        </is>
      </c>
      <c r="D16" s="14" t="inlineStr">
        <is>
          <t>In Progress</t>
        </is>
      </c>
      <c r="E16" s="13" t="inlineStr">
        <is>
          <t>Legal, Regulatory &amp; Intellectual Property, Finance, Banking &amp; Accounting</t>
        </is>
      </c>
    </row>
    <row r="17">
      <c r="A17" s="11" t="inlineStr">
        <is>
          <t>GATE-3</t>
        </is>
      </c>
      <c r="B17" s="6" t="inlineStr">
        <is>
          <t>Gate 3: Product &amp; Delivery Readiness</t>
        </is>
      </c>
      <c r="C17" s="11" t="inlineStr">
        <is>
          <t>2026-12-15</t>
        </is>
      </c>
      <c r="D17" s="14" t="inlineStr">
        <is>
          <t>In Progress</t>
        </is>
      </c>
      <c r="E17" s="13" t="inlineStr">
        <is>
          <t>Six-Product Sales Readiness, Central Delivery &amp; Customer Support</t>
        </is>
      </c>
    </row>
    <row r="18">
      <c r="A18" s="11" t="inlineStr">
        <is>
          <t>GATE-4</t>
        </is>
      </c>
      <c r="B18" s="6" t="inlineStr">
        <is>
          <t>Gate 4: Franchise Recruitment Readiness</t>
        </is>
      </c>
      <c r="C18" s="11" t="inlineStr">
        <is>
          <t>2027-01-05</t>
        </is>
      </c>
      <c r="D18" s="14" t="inlineStr">
        <is>
          <t>In Progress</t>
        </is>
      </c>
      <c r="E18" s="13" t="inlineStr">
        <is>
          <t>Franchise Recruitment &amp; Marketing, Partner Onboarding Documents</t>
        </is>
      </c>
    </row>
    <row r="19">
      <c r="A19" s="11" t="inlineStr">
        <is>
          <t>GATE-5</t>
        </is>
      </c>
      <c r="B19" s="6" t="inlineStr">
        <is>
          <t>Gate 5: Pilot Launch Readiness</t>
        </is>
      </c>
      <c r="C19" s="11" t="inlineStr">
        <is>
          <t>2027-01-20</t>
        </is>
      </c>
      <c r="D19" s="7" t="inlineStr">
        <is>
          <t>Pending</t>
        </is>
      </c>
      <c r="E19" s="13" t="inlineStr">
        <is>
          <t>Franchise Operations &amp; SOPs, Franchise Management Technology, Training &amp; Certification, Pilot Launch &amp; Final Approval</t>
        </is>
      </c>
    </row>
    <row r="20">
      <c r="A20" s="11" t="inlineStr">
        <is>
          <t>GATE-6</t>
        </is>
      </c>
      <c r="B20" s="6" t="inlineStr">
        <is>
          <t>Gate 6: National Expansion Approval</t>
        </is>
      </c>
      <c r="C20" s="11" t="inlineStr">
        <is>
          <t>2027-04-30</t>
        </is>
      </c>
      <c r="D20" s="7" t="inlineStr">
        <is>
          <t>Pending</t>
        </is>
      </c>
      <c r="E20" s="13" t="inlineStr">
        <is>
          <t>Governance &amp; Performance Monitoring, Pilot Launch &amp; Final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22" customWidth="1" min="4" max="4"/>
    <col width="22" customWidth="1" min="5" max="5"/>
    <col width="14" customWidth="1" min="6" max="6"/>
    <col width="16" customWidth="1" min="7" max="7"/>
  </cols>
  <sheetData>
    <row r="1">
      <c r="A1" s="1" t="inlineStr">
        <is>
          <t>TMK IT Solutions LLP — 12-Workstream Readiness Summary</t>
        </is>
      </c>
    </row>
    <row r="2">
      <c r="A2" s="2" t="inlineStr">
        <is>
          <t>Dynamic aggregation of deliverables, completion counts, and readiness percentage by domain</t>
        </is>
      </c>
    </row>
    <row r="3"/>
    <row r="4">
      <c r="A4" s="5" t="inlineStr">
        <is>
          <t>#</t>
        </is>
      </c>
      <c r="B4" s="4" t="inlineStr">
        <is>
          <t>Workstream Name</t>
        </is>
      </c>
      <c r="C4" s="5" t="inlineStr">
        <is>
          <t>Total Tasks</t>
        </is>
      </c>
      <c r="D4" s="5" t="inlineStr">
        <is>
          <t>Approved / Verified</t>
        </is>
      </c>
      <c r="E4" s="5" t="inlineStr">
        <is>
          <t>In Progress / Draft</t>
        </is>
      </c>
      <c r="F4" s="5" t="inlineStr">
        <is>
          <t>Not Started</t>
        </is>
      </c>
      <c r="G4" s="5" t="inlineStr">
        <is>
          <t>Completion %</t>
        </is>
      </c>
    </row>
    <row r="5">
      <c r="A5" s="11" t="n">
        <v>1</v>
      </c>
      <c r="B5" s="6" t="inlineStr">
        <is>
          <t>Business Model &amp; Commercial Strategy</t>
        </is>
      </c>
      <c r="C5" s="11">
        <f>COUNTIF('Master Checklist'!$B$5:$B$80, "Business Model &amp; Commercial Strategy")</f>
        <v/>
      </c>
      <c r="D5" s="11">
        <f>COUNTIFS('Master Checklist'!$B$5:$B$80, "Business Model &amp; Commercial Strategy", 'Master Checklist'!$G$5:$G$80, "Document Approved") + COUNTIFS('Master Checklist'!$B$5:$B$80, "Business Model &amp; Commercial Strategy", 'Master Checklist'!$G$5:$G$80, "Process Implemented") + COUNTIFS('Master Checklist'!$B$5:$B$80, "Business Model &amp; Commercial Strategy", 'Master Checklist'!$G$5:$G$80, "Process Verified")</f>
        <v/>
      </c>
      <c r="E5" s="11">
        <f>COUNTIFS('Master Checklist'!$B$5:$B$80, "Business Model &amp; Commercial Strategy", 'Master Checklist'!$G$5:$G$80, "In Progress") + COUNTIFS('Master Checklist'!$B$5:$B$80, "Business Model &amp; Commercial Strategy", 'Master Checklist'!$G$5:$G$80, "Document Created") + COUNTIFS('Master Checklist'!$B$5:$B$80, "Business Model &amp; Commercial Strategy", 'Master Checklist'!$G$5:$G$80, "Document Reviewed")</f>
        <v/>
      </c>
      <c r="F5" s="11">
        <f>COUNTIFS('Master Checklist'!$B$5:$B$80, "Business Model &amp; Commercial Strategy", 'Master Checklist'!$G$5:$G$80, "Not Started")</f>
        <v/>
      </c>
      <c r="G5" s="15">
        <f>IF(C5&gt;0, ROUND((D5/C5)*100, 1), 0)</f>
        <v/>
      </c>
    </row>
    <row r="6">
      <c r="A6" s="11" t="n">
        <v>2</v>
      </c>
      <c r="B6" s="6" t="inlineStr">
        <is>
          <t>Legal, Regulatory &amp; Intellectual Property</t>
        </is>
      </c>
      <c r="C6" s="11">
        <f>COUNTIF('Master Checklist'!$B$5:$B$80, "Legal, Regulatory &amp; Intellectual Property")</f>
        <v/>
      </c>
      <c r="D6" s="11">
        <f>COUNTIFS('Master Checklist'!$B$5:$B$80, "Legal, Regulatory &amp; Intellectual Property", 'Master Checklist'!$G$5:$G$80, "Document Approved") + COUNTIFS('Master Checklist'!$B$5:$B$80, "Legal, Regulatory &amp; Intellectual Property", 'Master Checklist'!$G$5:$G$80, "Process Implemented") + COUNTIFS('Master Checklist'!$B$5:$B$80, "Legal, Regulatory &amp; Intellectual Property", 'Master Checklist'!$G$5:$G$80, "Process Verified")</f>
        <v/>
      </c>
      <c r="E6" s="11">
        <f>COUNTIFS('Master Checklist'!$B$5:$B$80, "Legal, Regulatory &amp; Intellectual Property", 'Master Checklist'!$G$5:$G$80, "In Progress") + COUNTIFS('Master Checklist'!$B$5:$B$80, "Legal, Regulatory &amp; Intellectual Property", 'Master Checklist'!$G$5:$G$80, "Document Created") + COUNTIFS('Master Checklist'!$B$5:$B$80, "Legal, Regulatory &amp; Intellectual Property", 'Master Checklist'!$G$5:$G$80, "Document Reviewed")</f>
        <v/>
      </c>
      <c r="F6" s="11">
        <f>COUNTIFS('Master Checklist'!$B$5:$B$80, "Legal, Regulatory &amp; Intellectual Property", 'Master Checklist'!$G$5:$G$80, "Not Started")</f>
        <v/>
      </c>
      <c r="G6" s="15">
        <f>IF(C6&gt;0, ROUND((D6/C6)*100, 1), 0)</f>
        <v/>
      </c>
    </row>
    <row r="7">
      <c r="A7" s="11" t="n">
        <v>3</v>
      </c>
      <c r="B7" s="6" t="inlineStr">
        <is>
          <t>Six-Product Sales Readiness</t>
        </is>
      </c>
      <c r="C7" s="11">
        <f>COUNTIF('Master Checklist'!$B$5:$B$80, "Six-Product Sales Readiness")</f>
        <v/>
      </c>
      <c r="D7" s="11">
        <f>COUNTIFS('Master Checklist'!$B$5:$B$80, "Six-Product Sales Readiness", 'Master Checklist'!$G$5:$G$80, "Document Approved") + COUNTIFS('Master Checklist'!$B$5:$B$80, "Six-Product Sales Readiness", 'Master Checklist'!$G$5:$G$80, "Process Implemented") + COUNTIFS('Master Checklist'!$B$5:$B$80, "Six-Product Sales Readiness", 'Master Checklist'!$G$5:$G$80, "Process Verified")</f>
        <v/>
      </c>
      <c r="E7" s="11">
        <f>COUNTIFS('Master Checklist'!$B$5:$B$80, "Six-Product Sales Readiness", 'Master Checklist'!$G$5:$G$80, "In Progress") + COUNTIFS('Master Checklist'!$B$5:$B$80, "Six-Product Sales Readiness", 'Master Checklist'!$G$5:$G$80, "Document Created") + COUNTIFS('Master Checklist'!$B$5:$B$80, "Six-Product Sales Readiness", 'Master Checklist'!$G$5:$G$80, "Document Reviewed")</f>
        <v/>
      </c>
      <c r="F7" s="11">
        <f>COUNTIFS('Master Checklist'!$B$5:$B$80, "Six-Product Sales Readiness", 'Master Checklist'!$G$5:$G$80, "Not Started")</f>
        <v/>
      </c>
      <c r="G7" s="15">
        <f>IF(C7&gt;0, ROUND((D7/C7)*100, 1), 0)</f>
        <v/>
      </c>
    </row>
    <row r="8">
      <c r="A8" s="11" t="n">
        <v>4</v>
      </c>
      <c r="B8" s="6" t="inlineStr">
        <is>
          <t>Finance, Banking &amp; Accounting</t>
        </is>
      </c>
      <c r="C8" s="11">
        <f>COUNTIF('Master Checklist'!$B$5:$B$80, "Finance, Banking &amp; Accounting")</f>
        <v/>
      </c>
      <c r="D8" s="11">
        <f>COUNTIFS('Master Checklist'!$B$5:$B$80, "Finance, Banking &amp; Accounting", 'Master Checklist'!$G$5:$G$80, "Document Approved") + COUNTIFS('Master Checklist'!$B$5:$B$80, "Finance, Banking &amp; Accounting", 'Master Checklist'!$G$5:$G$80, "Process Implemented") + COUNTIFS('Master Checklist'!$B$5:$B$80, "Finance, Banking &amp; Accounting", 'Master Checklist'!$G$5:$G$80, "Process Verified")</f>
        <v/>
      </c>
      <c r="E8" s="11">
        <f>COUNTIFS('Master Checklist'!$B$5:$B$80, "Finance, Banking &amp; Accounting", 'Master Checklist'!$G$5:$G$80, "In Progress") + COUNTIFS('Master Checklist'!$B$5:$B$80, "Finance, Banking &amp; Accounting", 'Master Checklist'!$G$5:$G$80, "Document Created") + COUNTIFS('Master Checklist'!$B$5:$B$80, "Finance, Banking &amp; Accounting", 'Master Checklist'!$G$5:$G$80, "Document Reviewed")</f>
        <v/>
      </c>
      <c r="F8" s="11">
        <f>COUNTIFS('Master Checklist'!$B$5:$B$80, "Finance, Banking &amp; Accounting", 'Master Checklist'!$G$5:$G$80, "Not Started")</f>
        <v/>
      </c>
      <c r="G8" s="15">
        <f>IF(C8&gt;0, ROUND((D8/C8)*100, 1), 0)</f>
        <v/>
      </c>
    </row>
    <row r="9">
      <c r="A9" s="11" t="n">
        <v>5</v>
      </c>
      <c r="B9" s="6" t="inlineStr">
        <is>
          <t>Franchise Operations &amp; SOPs</t>
        </is>
      </c>
      <c r="C9" s="11">
        <f>COUNTIF('Master Checklist'!$B$5:$B$80, "Franchise Operations &amp; SOPs")</f>
        <v/>
      </c>
      <c r="D9" s="11">
        <f>COUNTIFS('Master Checklist'!$B$5:$B$80, "Franchise Operations &amp; SOPs", 'Master Checklist'!$G$5:$G$80, "Document Approved") + COUNTIFS('Master Checklist'!$B$5:$B$80, "Franchise Operations &amp; SOPs", 'Master Checklist'!$G$5:$G$80, "Process Implemented") + COUNTIFS('Master Checklist'!$B$5:$B$80, "Franchise Operations &amp; SOPs", 'Master Checklist'!$G$5:$G$80, "Process Verified")</f>
        <v/>
      </c>
      <c r="E9" s="11">
        <f>COUNTIFS('Master Checklist'!$B$5:$B$80, "Franchise Operations &amp; SOPs", 'Master Checklist'!$G$5:$G$80, "In Progress") + COUNTIFS('Master Checklist'!$B$5:$B$80, "Franchise Operations &amp; SOPs", 'Master Checklist'!$G$5:$G$80, "Document Created") + COUNTIFS('Master Checklist'!$B$5:$B$80, "Franchise Operations &amp; SOPs", 'Master Checklist'!$G$5:$G$80, "Document Reviewed")</f>
        <v/>
      </c>
      <c r="F9" s="11">
        <f>COUNTIFS('Master Checklist'!$B$5:$B$80, "Franchise Operations &amp; SOPs", 'Master Checklist'!$G$5:$G$80, "Not Started")</f>
        <v/>
      </c>
      <c r="G9" s="15">
        <f>IF(C9&gt;0, ROUND((D9/C9)*100, 1), 0)</f>
        <v/>
      </c>
    </row>
    <row r="10">
      <c r="A10" s="11" t="n">
        <v>6</v>
      </c>
      <c r="B10" s="6" t="inlineStr">
        <is>
          <t>Franchise Management Technology</t>
        </is>
      </c>
      <c r="C10" s="11">
        <f>COUNTIF('Master Checklist'!$B$5:$B$80, "Franchise Management Technology")</f>
        <v/>
      </c>
      <c r="D10" s="11">
        <f>COUNTIFS('Master Checklist'!$B$5:$B$80, "Franchise Management Technology", 'Master Checklist'!$G$5:$G$80, "Document Approved") + COUNTIFS('Master Checklist'!$B$5:$B$80, "Franchise Management Technology", 'Master Checklist'!$G$5:$G$80, "Process Implemented") + COUNTIFS('Master Checklist'!$B$5:$B$80, "Franchise Management Technology", 'Master Checklist'!$G$5:$G$80, "Process Verified")</f>
        <v/>
      </c>
      <c r="E10" s="11">
        <f>COUNTIFS('Master Checklist'!$B$5:$B$80, "Franchise Management Technology", 'Master Checklist'!$G$5:$G$80, "In Progress") + COUNTIFS('Master Checklist'!$B$5:$B$80, "Franchise Management Technology", 'Master Checklist'!$G$5:$G$80, "Document Created") + COUNTIFS('Master Checklist'!$B$5:$B$80, "Franchise Management Technology", 'Master Checklist'!$G$5:$G$80, "Document Reviewed")</f>
        <v/>
      </c>
      <c r="F10" s="11">
        <f>COUNTIFS('Master Checklist'!$B$5:$B$80, "Franchise Management Technology", 'Master Checklist'!$G$5:$G$80, "Not Started")</f>
        <v/>
      </c>
      <c r="G10" s="15">
        <f>IF(C10&gt;0, ROUND((D10/C10)*100, 1), 0)</f>
        <v/>
      </c>
    </row>
    <row r="11">
      <c r="A11" s="11" t="n">
        <v>7</v>
      </c>
      <c r="B11" s="6" t="inlineStr">
        <is>
          <t>Franchise Recruitment &amp; Marketing</t>
        </is>
      </c>
      <c r="C11" s="11">
        <f>COUNTIF('Master Checklist'!$B$5:$B$80, "Franchise Recruitment &amp; Marketing")</f>
        <v/>
      </c>
      <c r="D11" s="11">
        <f>COUNTIFS('Master Checklist'!$B$5:$B$80, "Franchise Recruitment &amp; Marketing", 'Master Checklist'!$G$5:$G$80, "Document Approved") + COUNTIFS('Master Checklist'!$B$5:$B$80, "Franchise Recruitment &amp; Marketing", 'Master Checklist'!$G$5:$G$80, "Process Implemented") + COUNTIFS('Master Checklist'!$B$5:$B$80, "Franchise Recruitment &amp; Marketing", 'Master Checklist'!$G$5:$G$80, "Process Verified")</f>
        <v/>
      </c>
      <c r="E11" s="11">
        <f>COUNTIFS('Master Checklist'!$B$5:$B$80, "Franchise Recruitment &amp; Marketing", 'Master Checklist'!$G$5:$G$80, "In Progress") + COUNTIFS('Master Checklist'!$B$5:$B$80, "Franchise Recruitment &amp; Marketing", 'Master Checklist'!$G$5:$G$80, "Document Created") + COUNTIFS('Master Checklist'!$B$5:$B$80, "Franchise Recruitment &amp; Marketing", 'Master Checklist'!$G$5:$G$80, "Document Reviewed")</f>
        <v/>
      </c>
      <c r="F11" s="11">
        <f>COUNTIFS('Master Checklist'!$B$5:$B$80, "Franchise Recruitment &amp; Marketing", 'Master Checklist'!$G$5:$G$80, "Not Started")</f>
        <v/>
      </c>
      <c r="G11" s="15">
        <f>IF(C11&gt;0, ROUND((D11/C11)*100, 1), 0)</f>
        <v/>
      </c>
    </row>
    <row r="12">
      <c r="A12" s="11" t="n">
        <v>8</v>
      </c>
      <c r="B12" s="6" t="inlineStr">
        <is>
          <t>Training &amp; Certification</t>
        </is>
      </c>
      <c r="C12" s="11">
        <f>COUNTIF('Master Checklist'!$B$5:$B$80, "Training &amp; Certification")</f>
        <v/>
      </c>
      <c r="D12" s="11">
        <f>COUNTIFS('Master Checklist'!$B$5:$B$80, "Training &amp; Certification", 'Master Checklist'!$G$5:$G$80, "Document Approved") + COUNTIFS('Master Checklist'!$B$5:$B$80, "Training &amp; Certification", 'Master Checklist'!$G$5:$G$80, "Process Implemented") + COUNTIFS('Master Checklist'!$B$5:$B$80, "Training &amp; Certification", 'Master Checklist'!$G$5:$G$80, "Process Verified")</f>
        <v/>
      </c>
      <c r="E12" s="11">
        <f>COUNTIFS('Master Checklist'!$B$5:$B$80, "Training &amp; Certification", 'Master Checklist'!$G$5:$G$80, "In Progress") + COUNTIFS('Master Checklist'!$B$5:$B$80, "Training &amp; Certification", 'Master Checklist'!$G$5:$G$80, "Document Created") + COUNTIFS('Master Checklist'!$B$5:$B$80, "Training &amp; Certification", 'Master Checklist'!$G$5:$G$80, "Document Reviewed")</f>
        <v/>
      </c>
      <c r="F12" s="11">
        <f>COUNTIFS('Master Checklist'!$B$5:$B$80, "Training &amp; Certification", 'Master Checklist'!$G$5:$G$80, "Not Started")</f>
        <v/>
      </c>
      <c r="G12" s="15">
        <f>IF(C12&gt;0, ROUND((D12/C12)*100, 1), 0)</f>
        <v/>
      </c>
    </row>
    <row r="13">
      <c r="A13" s="11" t="n">
        <v>9</v>
      </c>
      <c r="B13" s="6" t="inlineStr">
        <is>
          <t>Central Delivery &amp; Customer Support</t>
        </is>
      </c>
      <c r="C13" s="11">
        <f>COUNTIF('Master Checklist'!$B$5:$B$80, "Central Delivery &amp; Customer Support")</f>
        <v/>
      </c>
      <c r="D13" s="11">
        <f>COUNTIFS('Master Checklist'!$B$5:$B$80, "Central Delivery &amp; Customer Support", 'Master Checklist'!$G$5:$G$80, "Document Approved") + COUNTIFS('Master Checklist'!$B$5:$B$80, "Central Delivery &amp; Customer Support", 'Master Checklist'!$G$5:$G$80, "Process Implemented") + COUNTIFS('Master Checklist'!$B$5:$B$80, "Central Delivery &amp; Customer Support", 'Master Checklist'!$G$5:$G$80, "Process Verified")</f>
        <v/>
      </c>
      <c r="E13" s="11">
        <f>COUNTIFS('Master Checklist'!$B$5:$B$80, "Central Delivery &amp; Customer Support", 'Master Checklist'!$G$5:$G$80, "In Progress") + COUNTIFS('Master Checklist'!$B$5:$B$80, "Central Delivery &amp; Customer Support", 'Master Checklist'!$G$5:$G$80, "Document Created") + COUNTIFS('Master Checklist'!$B$5:$B$80, "Central Delivery &amp; Customer Support", 'Master Checklist'!$G$5:$G$80, "Document Reviewed")</f>
        <v/>
      </c>
      <c r="F13" s="11">
        <f>COUNTIFS('Master Checklist'!$B$5:$B$80, "Central Delivery &amp; Customer Support", 'Master Checklist'!$G$5:$G$80, "Not Started")</f>
        <v/>
      </c>
      <c r="G13" s="15">
        <f>IF(C13&gt;0, ROUND((D13/C13)*100, 1), 0)</f>
        <v/>
      </c>
    </row>
    <row r="14">
      <c r="A14" s="11" t="n">
        <v>10</v>
      </c>
      <c r="B14" s="6" t="inlineStr">
        <is>
          <t>Partner Onboarding Documents</t>
        </is>
      </c>
      <c r="C14" s="11">
        <f>COUNTIF('Master Checklist'!$B$5:$B$80, "Partner Onboarding Documents")</f>
        <v/>
      </c>
      <c r="D14" s="11">
        <f>COUNTIFS('Master Checklist'!$B$5:$B$80, "Partner Onboarding Documents", 'Master Checklist'!$G$5:$G$80, "Document Approved") + COUNTIFS('Master Checklist'!$B$5:$B$80, "Partner Onboarding Documents", 'Master Checklist'!$G$5:$G$80, "Process Implemented") + COUNTIFS('Master Checklist'!$B$5:$B$80, "Partner Onboarding Documents", 'Master Checklist'!$G$5:$G$80, "Process Verified")</f>
        <v/>
      </c>
      <c r="E14" s="11">
        <f>COUNTIFS('Master Checklist'!$B$5:$B$80, "Partner Onboarding Documents", 'Master Checklist'!$G$5:$G$80, "In Progress") + COUNTIFS('Master Checklist'!$B$5:$B$80, "Partner Onboarding Documents", 'Master Checklist'!$G$5:$G$80, "Document Created") + COUNTIFS('Master Checklist'!$B$5:$B$80, "Partner Onboarding Documents", 'Master Checklist'!$G$5:$G$80, "Document Reviewed")</f>
        <v/>
      </c>
      <c r="F14" s="11">
        <f>COUNTIFS('Master Checklist'!$B$5:$B$80, "Partner Onboarding Documents", 'Master Checklist'!$G$5:$G$80, "Not Started")</f>
        <v/>
      </c>
      <c r="G14" s="15">
        <f>IF(C14&gt;0, ROUND((D14/C14)*100, 1), 0)</f>
        <v/>
      </c>
    </row>
    <row r="15">
      <c r="A15" s="11" t="n">
        <v>11</v>
      </c>
      <c r="B15" s="6" t="inlineStr">
        <is>
          <t>Governance &amp; Performance Monitoring</t>
        </is>
      </c>
      <c r="C15" s="11">
        <f>COUNTIF('Master Checklist'!$B$5:$B$80, "Governance &amp; Performance Monitoring")</f>
        <v/>
      </c>
      <c r="D15" s="11">
        <f>COUNTIFS('Master Checklist'!$B$5:$B$80, "Governance &amp; Performance Monitoring", 'Master Checklist'!$G$5:$G$80, "Document Approved") + COUNTIFS('Master Checklist'!$B$5:$B$80, "Governance &amp; Performance Monitoring", 'Master Checklist'!$G$5:$G$80, "Process Implemented") + COUNTIFS('Master Checklist'!$B$5:$B$80, "Governance &amp; Performance Monitoring", 'Master Checklist'!$G$5:$G$80, "Process Verified")</f>
        <v/>
      </c>
      <c r="E15" s="11">
        <f>COUNTIFS('Master Checklist'!$B$5:$B$80, "Governance &amp; Performance Monitoring", 'Master Checklist'!$G$5:$G$80, "In Progress") + COUNTIFS('Master Checklist'!$B$5:$B$80, "Governance &amp; Performance Monitoring", 'Master Checklist'!$G$5:$G$80, "Document Created") + COUNTIFS('Master Checklist'!$B$5:$B$80, "Governance &amp; Performance Monitoring", 'Master Checklist'!$G$5:$G$80, "Document Reviewed")</f>
        <v/>
      </c>
      <c r="F15" s="11">
        <f>COUNTIFS('Master Checklist'!$B$5:$B$80, "Governance &amp; Performance Monitoring", 'Master Checklist'!$G$5:$G$80, "Not Started")</f>
        <v/>
      </c>
      <c r="G15" s="15">
        <f>IF(C15&gt;0, ROUND((D15/C15)*100, 1), 0)</f>
        <v/>
      </c>
    </row>
    <row r="16">
      <c r="A16" s="11" t="n">
        <v>12</v>
      </c>
      <c r="B16" s="6" t="inlineStr">
        <is>
          <t>Pilot Launch &amp; Final Approval</t>
        </is>
      </c>
      <c r="C16" s="11">
        <f>COUNTIF('Master Checklist'!$B$5:$B$80, "Pilot Launch &amp; Final Approval")</f>
        <v/>
      </c>
      <c r="D16" s="11">
        <f>COUNTIFS('Master Checklist'!$B$5:$B$80, "Pilot Launch &amp; Final Approval", 'Master Checklist'!$G$5:$G$80, "Document Approved") + COUNTIFS('Master Checklist'!$B$5:$B$80, "Pilot Launch &amp; Final Approval", 'Master Checklist'!$G$5:$G$80, "Process Implemented") + COUNTIFS('Master Checklist'!$B$5:$B$80, "Pilot Launch &amp; Final Approval", 'Master Checklist'!$G$5:$G$80, "Process Verified")</f>
        <v/>
      </c>
      <c r="E16" s="11">
        <f>COUNTIFS('Master Checklist'!$B$5:$B$80, "Pilot Launch &amp; Final Approval", 'Master Checklist'!$G$5:$G$80, "In Progress") + COUNTIFS('Master Checklist'!$B$5:$B$80, "Pilot Launch &amp; Final Approval", 'Master Checklist'!$G$5:$G$80, "Document Created") + COUNTIFS('Master Checklist'!$B$5:$B$80, "Pilot Launch &amp; Final Approval", 'Master Checklist'!$G$5:$G$80, "Document Reviewed")</f>
        <v/>
      </c>
      <c r="F16" s="11">
        <f>COUNTIFS('Master Checklist'!$B$5:$B$80, "Pilot Launch &amp; Final Approval", 'Master Checklist'!$G$5:$G$80, "Not Started")</f>
        <v/>
      </c>
      <c r="G16" s="15">
        <f>IF(C16&gt;0, ROUND((D16/C16)*100, 1), 0)</f>
        <v/>
      </c>
    </row>
    <row r="17">
      <c r="A17" s="16" t="inlineStr"/>
      <c r="B17" s="16" t="inlineStr">
        <is>
          <t>TOTAL ALL WORKSTREAMS</t>
        </is>
      </c>
      <c r="C17" s="17">
        <f>SUM(C5:C16)</f>
        <v/>
      </c>
      <c r="D17" s="17">
        <f>SUM(D5:D16)</f>
        <v/>
      </c>
      <c r="E17" s="17">
        <f>SUM(E5:E16)</f>
        <v/>
      </c>
      <c r="F17" s="17">
        <f>SUM(F5:F16)</f>
        <v/>
      </c>
      <c r="G17" s="18">
        <f>IF(C17&gt;0, ROUND((D17/C17)*100, 1),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3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TMK IT Solutions LLP — Accountable Owner Task Summary</t>
        </is>
      </c>
    </row>
    <row r="2">
      <c r="A2" s="2" t="inlineStr">
        <is>
          <t>Resource allocation and task completion by responsible role</t>
        </is>
      </c>
    </row>
    <row r="3"/>
    <row r="4">
      <c r="A4" s="4" t="inlineStr">
        <is>
          <t>Role / Responsible Owner</t>
        </is>
      </c>
      <c r="B4" s="4" t="inlineStr">
        <is>
          <t>Domain Focus</t>
        </is>
      </c>
      <c r="C4" s="5" t="inlineStr">
        <is>
          <t>Total Tasks Assigned</t>
        </is>
      </c>
      <c r="D4" s="5" t="inlineStr">
        <is>
          <t>Verified / Approved</t>
        </is>
      </c>
      <c r="E4" s="5" t="inlineStr">
        <is>
          <t>In Progress / Draft</t>
        </is>
      </c>
      <c r="F4" s="5" t="inlineStr">
        <is>
          <t>Overdue / Blocked</t>
        </is>
      </c>
    </row>
    <row r="5">
      <c r="A5" s="6" t="inlineStr">
        <is>
          <t>Analyst 1</t>
        </is>
      </c>
      <c r="B5" s="13" t="inlineStr">
        <is>
          <t>Business Strategy, Research, Documentation &amp; Collateral</t>
        </is>
      </c>
      <c r="C5" s="11">
        <f>COUNTIF('Master Checklist'!$F$5:$F$80, "Analyst 1")</f>
        <v/>
      </c>
      <c r="D5" s="11">
        <f>COUNTIFS('Master Checklist'!$F$5:$F$80, "Analyst 1", 'Master Checklist'!$G$5:$G$80, "Document Approved") + COUNTIFS('Master Checklist'!$F$5:$F$80, "Analyst 1", 'Master Checklist'!$G$5:$G$80, "Process Implemented") + COUNTIFS('Master Checklist'!$F$5:$F$80, "Analyst 1", 'Master Checklist'!$G$5:$G$80, "Process Verified")</f>
        <v/>
      </c>
      <c r="E5" s="11">
        <f>COUNTIFS('Master Checklist'!$F$5:$F$80, "Analyst 1", 'Master Checklist'!$G$5:$G$80, "In Progress") + COUNTIFS('Master Checklist'!$F$5:$F$80, "Analyst 1", 'Master Checklist'!$G$5:$G$80, "Document Created") + COUNTIFS('Master Checklist'!$F$5:$F$80, "Analyst 1", 'Master Checklist'!$G$5:$G$80, "Document Reviewed")</f>
        <v/>
      </c>
      <c r="F5" s="19">
        <f>COUNTIFS('Master Checklist'!$F$5:$F$80, "Analyst 1", 'Master Checklist'!$L$5:$L$80, "OVERDUE")</f>
        <v/>
      </c>
    </row>
    <row r="6">
      <c r="A6" s="6" t="inlineStr">
        <is>
          <t>Analyst 2</t>
        </is>
      </c>
      <c r="B6" s="13" t="inlineStr">
        <is>
          <t>Financial Modeling, Analytics, Schemas &amp; Excel Math</t>
        </is>
      </c>
      <c r="C6" s="11">
        <f>COUNTIF('Master Checklist'!$F$5:$F$80, "Analyst 2")</f>
        <v/>
      </c>
      <c r="D6" s="11">
        <f>COUNTIFS('Master Checklist'!$F$5:$F$80, "Analyst 2", 'Master Checklist'!$G$5:$G$80, "Document Approved") + COUNTIFS('Master Checklist'!$F$5:$F$80, "Analyst 2", 'Master Checklist'!$G$5:$G$80, "Process Implemented") + COUNTIFS('Master Checklist'!$F$5:$F$80, "Analyst 2", 'Master Checklist'!$G$5:$G$80, "Process Verified")</f>
        <v/>
      </c>
      <c r="E6" s="11">
        <f>COUNTIFS('Master Checklist'!$F$5:$F$80, "Analyst 2", 'Master Checklist'!$G$5:$G$80, "In Progress") + COUNTIFS('Master Checklist'!$F$5:$F$80, "Analyst 2", 'Master Checklist'!$G$5:$G$80, "Document Created") + COUNTIFS('Master Checklist'!$F$5:$F$80, "Analyst 2", 'Master Checklist'!$G$5:$G$80, "Document Reviewed")</f>
        <v/>
      </c>
      <c r="F6" s="19">
        <f>COUNTIFS('Master Checklist'!$F$5:$F$80, "Analyst 2", 'Master Checklist'!$L$5:$L$80, "OVERDUE")</f>
        <v/>
      </c>
    </row>
    <row r="7">
      <c r="A7" s="6" t="inlineStr">
        <is>
          <t>Legal Counsel</t>
        </is>
      </c>
      <c r="B7" s="13" t="inlineStr">
        <is>
          <t>Franchise Agreements, Trademark Licensing &amp; Regulatory Review</t>
        </is>
      </c>
      <c r="C7" s="11">
        <f>COUNTIF('Master Checklist'!$F$5:$F$80, "Legal Counsel")</f>
        <v/>
      </c>
      <c r="D7" s="11">
        <f>COUNTIFS('Master Checklist'!$F$5:$F$80, "Legal Counsel", 'Master Checklist'!$G$5:$G$80, "Document Approved") + COUNTIFS('Master Checklist'!$F$5:$F$80, "Legal Counsel", 'Master Checklist'!$G$5:$G$80, "Process Implemented") + COUNTIFS('Master Checklist'!$F$5:$F$80, "Legal Counsel", 'Master Checklist'!$G$5:$G$80, "Process Verified")</f>
        <v/>
      </c>
      <c r="E7" s="11">
        <f>COUNTIFS('Master Checklist'!$F$5:$F$80, "Legal Counsel", 'Master Checklist'!$G$5:$G$80, "In Progress") + COUNTIFS('Master Checklist'!$F$5:$F$80, "Legal Counsel", 'Master Checklist'!$G$5:$G$80, "Document Created") + COUNTIFS('Master Checklist'!$F$5:$F$80, "Legal Counsel", 'Master Checklist'!$G$5:$G$80, "Document Reviewed")</f>
        <v/>
      </c>
      <c r="F7" s="19">
        <f>COUNTIFS('Master Checklist'!$F$5:$F$80, "Legal Counsel", 'Master Checklist'!$L$5:$L$80, "OVERDUE")</f>
        <v/>
      </c>
    </row>
    <row r="8">
      <c r="A8" s="6" t="inlineStr">
        <is>
          <t>Lead Software Architect</t>
        </is>
      </c>
      <c r="B8" s="13" t="inlineStr">
        <is>
          <t>6 Software Demo Sandboxes, Cloud HA, RBAC &amp; Provisioning</t>
        </is>
      </c>
      <c r="C8" s="11">
        <f>COUNTIF('Master Checklist'!$F$5:$F$80, "Lead Software Architect")</f>
        <v/>
      </c>
      <c r="D8" s="11">
        <f>COUNTIFS('Master Checklist'!$F$5:$F$80, "Lead Software Architect", 'Master Checklist'!$G$5:$G$80, "Document Approved") + COUNTIFS('Master Checklist'!$F$5:$F$80, "Lead Software Architect", 'Master Checklist'!$G$5:$G$80, "Process Implemented") + COUNTIFS('Master Checklist'!$F$5:$F$80, "Lead Software Architect", 'Master Checklist'!$G$5:$G$80, "Process Verified")</f>
        <v/>
      </c>
      <c r="E8" s="11">
        <f>COUNTIFS('Master Checklist'!$F$5:$F$80, "Lead Software Architect", 'Master Checklist'!$G$5:$G$80, "In Progress") + COUNTIFS('Master Checklist'!$F$5:$F$80, "Lead Software Architect", 'Master Checklist'!$G$5:$G$80, "Document Created") + COUNTIFS('Master Checklist'!$F$5:$F$80, "Lead Software Architect", 'Master Checklist'!$G$5:$G$80, "Document Reviewed")</f>
        <v/>
      </c>
      <c r="F8" s="19">
        <f>COUNTIFS('Master Checklist'!$F$5:$F$80, "Lead Software Architect", 'Master Checklist'!$L$5:$L$80, "OVERDUE")</f>
        <v/>
      </c>
    </row>
    <row r="9">
      <c r="A9" s="6" t="inlineStr">
        <is>
          <t>Finance Director / CA</t>
        </is>
      </c>
      <c r="B9" s="13" t="inlineStr">
        <is>
          <t>Banking Escrow, GST Pass-Through Tax &amp; Solvency Verification</t>
        </is>
      </c>
      <c r="C9" s="11">
        <f>COUNTIF('Master Checklist'!$F$5:$F$80, "Finance Director / CA")</f>
        <v/>
      </c>
      <c r="D9" s="11">
        <f>COUNTIFS('Master Checklist'!$F$5:$F$80, "Finance Director / CA", 'Master Checklist'!$G$5:$G$80, "Document Approved") + COUNTIFS('Master Checklist'!$F$5:$F$80, "Finance Director / CA", 'Master Checklist'!$G$5:$G$80, "Process Implemented") + COUNTIFS('Master Checklist'!$F$5:$F$80, "Finance Director / CA", 'Master Checklist'!$G$5:$G$80, "Process Verified")</f>
        <v/>
      </c>
      <c r="E9" s="11">
        <f>COUNTIFS('Master Checklist'!$F$5:$F$80, "Finance Director / CA", 'Master Checklist'!$G$5:$G$80, "In Progress") + COUNTIFS('Master Checklist'!$F$5:$F$80, "Finance Director / CA", 'Master Checklist'!$G$5:$G$80, "Document Created") + COUNTIFS('Master Checklist'!$F$5:$F$80, "Finance Director / CA", 'Master Checklist'!$G$5:$G$80, "Document Reviewed")</f>
        <v/>
      </c>
      <c r="F9" s="19">
        <f>COUNTIFS('Master Checklist'!$F$5:$F$80, "Finance Director / CA", 'Master Checklist'!$L$5:$L$80, "OVERDUE")</f>
        <v/>
      </c>
    </row>
    <row r="10">
      <c r="A10" s="6" t="inlineStr">
        <is>
          <t>Franchise Operations Lead</t>
        </is>
      </c>
      <c r="B10" s="13" t="inlineStr">
        <is>
          <t>SOP Handbook, Training Curriculum, Recruitment &amp; Support SLAs</t>
        </is>
      </c>
      <c r="C10" s="11">
        <f>COUNTIF('Master Checklist'!$F$5:$F$80, "Franchise Operations Lead")</f>
        <v/>
      </c>
      <c r="D10" s="11">
        <f>COUNTIFS('Master Checklist'!$F$5:$F$80, "Franchise Operations Lead", 'Master Checklist'!$G$5:$G$80, "Document Approved") + COUNTIFS('Master Checklist'!$F$5:$F$80, "Franchise Operations Lead", 'Master Checklist'!$G$5:$G$80, "Process Implemented") + COUNTIFS('Master Checklist'!$F$5:$F$80, "Franchise Operations Lead", 'Master Checklist'!$G$5:$G$80, "Process Verified")</f>
        <v/>
      </c>
      <c r="E10" s="11">
        <f>COUNTIFS('Master Checklist'!$F$5:$F$80, "Franchise Operations Lead", 'Master Checklist'!$G$5:$G$80, "In Progress") + COUNTIFS('Master Checklist'!$F$5:$F$80, "Franchise Operations Lead", 'Master Checklist'!$G$5:$G$80, "Document Created") + COUNTIFS('Master Checklist'!$F$5:$F$80, "Franchise Operations Lead", 'Master Checklist'!$G$5:$G$80, "Document Reviewed")</f>
        <v/>
      </c>
      <c r="F10" s="19">
        <f>COUNTIFS('Master Checklist'!$F$5:$F$80, "Franchise Operations Lead", 'Master Checklist'!$L$5:$L$80, "OVERDUE")</f>
        <v/>
      </c>
    </row>
    <row r="11">
      <c r="A11" s="6" t="inlineStr">
        <is>
          <t>Managing Partner</t>
        </is>
      </c>
      <c r="B11" s="13" t="inlineStr">
        <is>
          <t>Executive Decisions, Pilot Agreements &amp; Expansion Gate Approvals</t>
        </is>
      </c>
      <c r="C11" s="11">
        <f>COUNTIF('Master Checklist'!$F$5:$F$80, "Managing Partner")</f>
        <v/>
      </c>
      <c r="D11" s="11">
        <f>COUNTIFS('Master Checklist'!$F$5:$F$80, "Managing Partner", 'Master Checklist'!$G$5:$G$80, "Document Approved") + COUNTIFS('Master Checklist'!$F$5:$F$80, "Managing Partner", 'Master Checklist'!$G$5:$G$80, "Process Implemented") + COUNTIFS('Master Checklist'!$F$5:$F$80, "Managing Partner", 'Master Checklist'!$G$5:$G$80, "Process Verified")</f>
        <v/>
      </c>
      <c r="E11" s="11">
        <f>COUNTIFS('Master Checklist'!$F$5:$F$80, "Managing Partner", 'Master Checklist'!$G$5:$G$80, "In Progress") + COUNTIFS('Master Checklist'!$F$5:$F$80, "Managing Partner", 'Master Checklist'!$G$5:$G$80, "Document Created") + COUNTIFS('Master Checklist'!$F$5:$F$80, "Managing Partner", 'Master Checklist'!$G$5:$G$80, "Document Reviewed")</f>
        <v/>
      </c>
      <c r="F11" s="19">
        <f>COUNTIFS('Master Checklist'!$F$5:$F$80, "Managing Partner", 'Master Checklist'!$L$5:$L$80, "OVERDUE")</f>
        <v/>
      </c>
    </row>
    <row r="12">
      <c r="A12" s="16" t="inlineStr">
        <is>
          <t>TOTAL ALL ROLES</t>
        </is>
      </c>
      <c r="B12" s="16" t="inlineStr"/>
      <c r="C12" s="17">
        <f>SUM(C5:C11)</f>
        <v/>
      </c>
      <c r="D12" s="17">
        <f>SUM(D5:D11)</f>
        <v/>
      </c>
      <c r="E12" s="17">
        <f>SUM(E5:E11)</f>
        <v/>
      </c>
      <c r="F12" s="17">
        <f>SUM(F5:F11)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5" customWidth="1" min="3" max="3"/>
    <col width="45" customWidth="1" min="4" max="4"/>
    <col width="12" customWidth="1" min="5" max="5"/>
    <col width="22" customWidth="1" min="6" max="6"/>
    <col width="22" customWidth="1" min="7" max="7"/>
    <col width="26" customWidth="1" min="8" max="8"/>
    <col width="22" customWidth="1" min="9" max="9"/>
    <col width="22" customWidth="1" min="10" max="10"/>
    <col width="14" customWidth="1" min="11" max="11"/>
    <col width="18" customWidth="1" min="12" max="12"/>
    <col width="16" customWidth="1" min="13" max="13"/>
    <col width="30" customWidth="1" min="14" max="14"/>
    <col width="14" customWidth="1" min="15" max="15"/>
    <col width="40" customWidth="1" min="16" max="16"/>
  </cols>
  <sheetData>
    <row r="1">
      <c r="A1" s="1" t="inlineStr">
        <is>
          <t>TMK IT Solutions LLP — Master 12-Workstream Launch Readiness Checklist</t>
        </is>
      </c>
    </row>
    <row r="2">
      <c r="A2" s="2" t="inlineStr">
        <is>
          <t>Complete task inventory, ownership RACI, status tracking, launch gating, and blocker registry</t>
        </is>
      </c>
    </row>
    <row r="3"/>
    <row r="4">
      <c r="A4" s="5" t="inlineStr">
        <is>
          <t>Task ID</t>
        </is>
      </c>
      <c r="B4" s="4" t="inlineStr">
        <is>
          <t>Workstream</t>
        </is>
      </c>
      <c r="C4" s="4" t="inlineStr">
        <is>
          <t>Title</t>
        </is>
      </c>
      <c r="D4" s="4" t="inlineStr">
        <is>
          <t>Description</t>
        </is>
      </c>
      <c r="E4" s="5" t="inlineStr">
        <is>
          <t>Priority</t>
        </is>
      </c>
      <c r="F4" s="4" t="inlineStr">
        <is>
          <t>Owner Role</t>
        </is>
      </c>
      <c r="G4" s="5" t="inlineStr">
        <is>
          <t>Status</t>
        </is>
      </c>
      <c r="H4" s="4" t="inlineStr">
        <is>
          <t>Classification</t>
        </is>
      </c>
      <c r="I4" s="4" t="inlineStr">
        <is>
          <t>Reviewer Role</t>
        </is>
      </c>
      <c r="J4" s="4" t="inlineStr">
        <is>
          <t>Approval Authority</t>
        </is>
      </c>
      <c r="K4" s="5" t="inlineStr">
        <is>
          <t>Target Date</t>
        </is>
      </c>
      <c r="L4" s="5" t="inlineStr">
        <is>
          <t>Overdue Indicator</t>
        </is>
      </c>
      <c r="M4" s="4" t="inlineStr">
        <is>
          <t>Dependencies</t>
        </is>
      </c>
      <c r="N4" s="5" t="inlineStr">
        <is>
          <t>Launch Gate</t>
        </is>
      </c>
      <c r="O4" s="5" t="inlineStr">
        <is>
          <t>Is Blocker?</t>
        </is>
      </c>
      <c r="P4" s="4" t="inlineStr">
        <is>
          <t>Related Document</t>
        </is>
      </c>
    </row>
    <row r="5">
      <c r="A5" s="11" t="inlineStr">
        <is>
          <t>FLR-BMS-001</t>
        </is>
      </c>
      <c r="B5" s="20" t="inlineStr">
        <is>
          <t>Business Model &amp; Commercial Strategy</t>
        </is>
      </c>
      <c r="C5" s="6" t="inlineStr">
        <is>
          <t>FOFO Business Model Specification &amp; RACI Architecture</t>
        </is>
      </c>
      <c r="D5" s="20" t="inlineStr">
        <is>
          <t>Formulate comprehensive specification of Franchise Owned, Franchise Operated (FOFO) commercial structure, capital division, and operational RACI matrix.</t>
        </is>
      </c>
      <c r="E5" s="11" t="inlineStr">
        <is>
          <t>Critical</t>
        </is>
      </c>
      <c r="F5" s="20" t="inlineStr">
        <is>
          <t>Analyst 1</t>
        </is>
      </c>
      <c r="G5" s="21" t="inlineStr">
        <is>
          <t>Document Approved</t>
        </is>
      </c>
      <c r="H5" s="20" t="inlineStr">
        <is>
          <t>Business research and modeling</t>
        </is>
      </c>
      <c r="I5" s="20" t="inlineStr">
        <is>
          <t>Analyst 2</t>
        </is>
      </c>
      <c r="J5" s="20" t="inlineStr">
        <is>
          <t>Managing Partner</t>
        </is>
      </c>
      <c r="K5" s="11" t="inlineStr">
        <is>
          <t>2026-10-26</t>
        </is>
      </c>
      <c r="L5" s="19">
        <f>IF(AND(K5&lt;TODAY(), G5&lt;&gt;"Document Approved", G5&lt;&gt;"Process Verified"), "OVERDUE", "On Track")</f>
        <v/>
      </c>
      <c r="M5" s="11" t="inlineStr"/>
      <c r="N5" s="20" t="inlineStr">
        <is>
          <t>Gate 1: Business Model Approved</t>
        </is>
      </c>
      <c r="O5" s="19" t="b">
        <v>1</v>
      </c>
      <c r="P5" s="20" t="inlineStr">
        <is>
          <t>clients/tmk-it-solutions/franchise-model/fofo-operating-model.md</t>
        </is>
      </c>
    </row>
    <row r="6">
      <c r="A6" s="11" t="inlineStr">
        <is>
          <t>FLR-BMS-002</t>
        </is>
      </c>
      <c r="B6" s="20" t="inlineStr">
        <is>
          <t>Business Model &amp; Commercial Strategy</t>
        </is>
      </c>
      <c r="C6" s="6" t="inlineStr">
        <is>
          <t>Franchise Fee Structure &amp; Promotional Tier Policy</t>
        </is>
      </c>
      <c r="D6" s="20" t="inlineStr">
        <is>
          <t>Establish policy for promotional ₹25,000 joining fee (first 10 units) and standard ₹50,000 fee with documented renewal terms.</t>
        </is>
      </c>
      <c r="E6" s="11" t="inlineStr">
        <is>
          <t>High</t>
        </is>
      </c>
      <c r="F6" s="20" t="inlineStr">
        <is>
          <t>Analyst 1</t>
        </is>
      </c>
      <c r="G6" s="21" t="inlineStr">
        <is>
          <t>Document Approved</t>
        </is>
      </c>
      <c r="H6" s="20" t="inlineStr">
        <is>
          <t>Business research and modeling</t>
        </is>
      </c>
      <c r="I6" s="20" t="inlineStr">
        <is>
          <t>Analyst 2</t>
        </is>
      </c>
      <c r="J6" s="20" t="inlineStr">
        <is>
          <t>Managing Partner</t>
        </is>
      </c>
      <c r="K6" s="11" t="inlineStr">
        <is>
          <t>2026-10-26</t>
        </is>
      </c>
      <c r="L6" s="19">
        <f>IF(AND(K6&lt;TODAY(), G6&lt;&gt;"Document Approved", G6&lt;&gt;"Process Verified"), "OVERDUE", "On Track")</f>
        <v/>
      </c>
      <c r="M6" s="11" t="inlineStr">
        <is>
          <t>FLR-BMS-001</t>
        </is>
      </c>
      <c r="N6" s="20" t="inlineStr">
        <is>
          <t>Gate 1: Business Model Approved</t>
        </is>
      </c>
      <c r="O6" s="11" t="b">
        <v>0</v>
      </c>
      <c r="P6" s="20" t="inlineStr">
        <is>
          <t>clients/tmk-it-solutions/franchise-model/fee-structure.md</t>
        </is>
      </c>
    </row>
    <row r="7">
      <c r="A7" s="11" t="inlineStr">
        <is>
          <t>FLR-BMS-003</t>
        </is>
      </c>
      <c r="B7" s="20" t="inlineStr">
        <is>
          <t>Business Model &amp; Commercial Strategy</t>
        </is>
      </c>
      <c r="C7" s="6" t="inlineStr">
        <is>
          <t>40:60 Net Revenue Sharing Rules &amp; Machine Config</t>
        </is>
      </c>
      <c r="D7" s="20" t="inlineStr">
        <is>
          <t>Define contractual revenue-sharing percentages (40% Franchisee : 60% TMK) and machine-readable JSON configuration.</t>
        </is>
      </c>
      <c r="E7" s="11" t="inlineStr">
        <is>
          <t>Critical</t>
        </is>
      </c>
      <c r="F7" s="20" t="inlineStr">
        <is>
          <t>Analyst 2</t>
        </is>
      </c>
      <c r="G7" s="21" t="inlineStr">
        <is>
          <t>Document Approved</t>
        </is>
      </c>
      <c r="H7" s="20" t="inlineStr">
        <is>
          <t>Finance and accounting</t>
        </is>
      </c>
      <c r="I7" s="20" t="inlineStr">
        <is>
          <t>Analyst 1</t>
        </is>
      </c>
      <c r="J7" s="20" t="inlineStr">
        <is>
          <t>Finance Director / CA</t>
        </is>
      </c>
      <c r="K7" s="11" t="inlineStr">
        <is>
          <t>2026-10-26</t>
        </is>
      </c>
      <c r="L7" s="19">
        <f>IF(AND(K7&lt;TODAY(), G7&lt;&gt;"Document Approved", G7&lt;&gt;"Process Verified"), "OVERDUE", "On Track")</f>
        <v/>
      </c>
      <c r="M7" s="11" t="inlineStr">
        <is>
          <t>FLR-BMS-001</t>
        </is>
      </c>
      <c r="N7" s="20" t="inlineStr">
        <is>
          <t>Gate 1: Business Model Approved</t>
        </is>
      </c>
      <c r="O7" s="19" t="b">
        <v>1</v>
      </c>
      <c r="P7" s="20" t="inlineStr">
        <is>
          <t>clients/tmk-it-solutions/franchise-model/revenue-sharing-rules.md, clients/tmk-it-solutions/franchise-model/revenue-sharing-config.json</t>
        </is>
      </c>
    </row>
    <row r="8">
      <c r="A8" s="11" t="inlineStr">
        <is>
          <t>FLR-BMS-004</t>
        </is>
      </c>
      <c r="B8" s="20" t="inlineStr">
        <is>
          <t>Business Model &amp; Commercial Strategy</t>
        </is>
      </c>
      <c r="C8" s="6" t="inlineStr">
        <is>
          <t>Six-Product Market Demand Brief &amp; TAM/SAM/SOM Sizing</t>
        </is>
      </c>
      <c r="D8" s="20" t="inlineStr">
        <is>
          <t>Quantify total addressable market and serviceable opportunity for TMK software portfolio across Tier-2/3 Indian markets.</t>
        </is>
      </c>
      <c r="E8" s="11" t="inlineStr">
        <is>
          <t>High</t>
        </is>
      </c>
      <c r="F8" s="20" t="inlineStr">
        <is>
          <t>Analyst 1</t>
        </is>
      </c>
      <c r="G8" s="21" t="inlineStr">
        <is>
          <t>Document Approved</t>
        </is>
      </c>
      <c r="H8" s="20" t="inlineStr">
        <is>
          <t>Business research and modeling</t>
        </is>
      </c>
      <c r="I8" s="20" t="inlineStr">
        <is>
          <t>Analyst 2</t>
        </is>
      </c>
      <c r="J8" s="20" t="inlineStr">
        <is>
          <t>Practice Lead</t>
        </is>
      </c>
      <c r="K8" s="11" t="inlineStr">
        <is>
          <t>2026-10-26</t>
        </is>
      </c>
      <c r="L8" s="19">
        <f>IF(AND(K8&lt;TODAY(), G8&lt;&gt;"Document Approved", G8&lt;&gt;"Process Verified"), "OVERDUE", "On Track")</f>
        <v/>
      </c>
      <c r="M8" s="11" t="inlineStr"/>
      <c r="N8" s="20" t="inlineStr">
        <is>
          <t>Gate 1: Business Model Approved</t>
        </is>
      </c>
      <c r="O8" s="11" t="b">
        <v>0</v>
      </c>
      <c r="P8" s="20" t="inlineStr">
        <is>
          <t>clients/tmk-it-solutions/research/six-product-demand-analysis.md</t>
        </is>
      </c>
    </row>
    <row r="9">
      <c r="A9" s="11" t="inlineStr">
        <is>
          <t>FLR-BMS-005</t>
        </is>
      </c>
      <c r="B9" s="20" t="inlineStr">
        <is>
          <t>Business Model &amp; Commercial Strategy</t>
        </is>
      </c>
      <c r="C9" s="6" t="inlineStr">
        <is>
          <t>Taluka-Based Territory Segmentation Strategy</t>
        </is>
      </c>
      <c r="D9" s="20" t="inlineStr">
        <is>
          <t>Define territorial boundaries utilizing sub-district (Taluka / Tehsil) administrative divisions with TOS scoring.</t>
        </is>
      </c>
      <c r="E9" s="11" t="inlineStr">
        <is>
          <t>High</t>
        </is>
      </c>
      <c r="F9" s="20" t="inlineStr">
        <is>
          <t>Analyst 1</t>
        </is>
      </c>
      <c r="G9" s="21" t="inlineStr">
        <is>
          <t>Document Approved</t>
        </is>
      </c>
      <c r="H9" s="20" t="inlineStr">
        <is>
          <t>Business research and modeling</t>
        </is>
      </c>
      <c r="I9" s="20" t="inlineStr">
        <is>
          <t>Analyst 2</t>
        </is>
      </c>
      <c r="J9" s="20" t="inlineStr">
        <is>
          <t>Practice Lead</t>
        </is>
      </c>
      <c r="K9" s="11" t="inlineStr">
        <is>
          <t>2026-10-26</t>
        </is>
      </c>
      <c r="L9" s="19">
        <f>IF(AND(K9&lt;TODAY(), G9&lt;&gt;"Document Approved", G9&lt;&gt;"Process Verified"), "OVERDUE", "On Track")</f>
        <v/>
      </c>
      <c r="M9" s="11" t="inlineStr">
        <is>
          <t>FLR-BMS-004</t>
        </is>
      </c>
      <c r="N9" s="20" t="inlineStr">
        <is>
          <t>Gate 1: Business Model Approved</t>
        </is>
      </c>
      <c r="O9" s="11" t="b">
        <v>0</v>
      </c>
      <c r="P9" s="20" t="inlineStr">
        <is>
          <t>clients/tmk-it-solutions/research/taluka-based-territory-strategy.md</t>
        </is>
      </c>
    </row>
    <row r="10">
      <c r="A10" s="11" t="inlineStr">
        <is>
          <t>FLR-BMS-006</t>
        </is>
      </c>
      <c r="B10" s="20" t="inlineStr">
        <is>
          <t>Business Model &amp; Commercial Strategy</t>
        </is>
      </c>
      <c r="C10" s="6" t="inlineStr">
        <is>
          <t>Three-Year Expansion Growth Vision &amp; Wave Rollout Plan</t>
        </is>
      </c>
      <c r="D10" s="20" t="inlineStr">
        <is>
          <t>Establish 36-month expansion trajectory: Wave 1 Pilot (3 units), Wave 2 Western Maharashtra (15 units), Wave 3 Statewide (50 units).</t>
        </is>
      </c>
      <c r="E10" s="11" t="inlineStr">
        <is>
          <t>Medium</t>
        </is>
      </c>
      <c r="F10" s="20" t="inlineStr">
        <is>
          <t>Analyst 1</t>
        </is>
      </c>
      <c r="G10" s="21" t="inlineStr">
        <is>
          <t>Document Approved</t>
        </is>
      </c>
      <c r="H10" s="20" t="inlineStr">
        <is>
          <t>Documentation and presentation</t>
        </is>
      </c>
      <c r="I10" s="20" t="inlineStr">
        <is>
          <t>Managing Partner</t>
        </is>
      </c>
      <c r="J10" s="20" t="inlineStr">
        <is>
          <t>Managing Partner</t>
        </is>
      </c>
      <c r="K10" s="11" t="inlineStr">
        <is>
          <t>2026-10-26</t>
        </is>
      </c>
      <c r="L10" s="19">
        <f>IF(AND(K10&lt;TODAY(), G10&lt;&gt;"Document Approved", G10&lt;&gt;"Process Verified"), "OVERDUE", "On Track")</f>
        <v/>
      </c>
      <c r="M10" s="11" t="inlineStr">
        <is>
          <t>FLR-BMS-005</t>
        </is>
      </c>
      <c r="N10" s="20" t="inlineStr">
        <is>
          <t>Gate 1: Business Model Approved</t>
        </is>
      </c>
      <c r="O10" s="11" t="b">
        <v>0</v>
      </c>
      <c r="P10" s="20" t="inlineStr">
        <is>
          <t>clients/tmk-it-solutions/sales-marketing/three-year-growth-vision.md</t>
        </is>
      </c>
    </row>
    <row r="11">
      <c r="A11" s="11" t="inlineStr">
        <is>
          <t>FLR-LGL-001</t>
        </is>
      </c>
      <c r="B11" s="20" t="inlineStr">
        <is>
          <t>Legal, Regulatory &amp; Intellectual Property</t>
        </is>
      </c>
      <c r="C11" s="6" t="inlineStr">
        <is>
          <t>Master Franchise Agreement Drafting</t>
        </is>
      </c>
      <c r="D11" s="20" t="inlineStr">
        <is>
          <t>Author complete legal agreement draft specifying license grant, payment terms, territory rules, audit rights, and termination.</t>
        </is>
      </c>
      <c r="E11" s="11" t="inlineStr">
        <is>
          <t>Critical</t>
        </is>
      </c>
      <c r="F11" s="20" t="inlineStr">
        <is>
          <t>Analyst 1</t>
        </is>
      </c>
      <c r="G11" s="14" t="inlineStr">
        <is>
          <t>Document Created</t>
        </is>
      </c>
      <c r="H11" s="20" t="inlineStr">
        <is>
          <t>Documentation and presentation</t>
        </is>
      </c>
      <c r="I11" s="20" t="inlineStr">
        <is>
          <t>Legal Counsel</t>
        </is>
      </c>
      <c r="J11" s="20" t="inlineStr">
        <is>
          <t>Legal Counsel</t>
        </is>
      </c>
      <c r="K11" s="11" t="inlineStr">
        <is>
          <t>2026-10-26</t>
        </is>
      </c>
      <c r="L11" s="19">
        <f>IF(AND(K11&lt;TODAY(), G11&lt;&gt;"Document Approved", G11&lt;&gt;"Process Verified"), "OVERDUE", "On Track")</f>
        <v/>
      </c>
      <c r="M11" s="11" t="inlineStr">
        <is>
          <t>FLR-BMS-001, FLR-BMS-003</t>
        </is>
      </c>
      <c r="N11" s="20" t="inlineStr">
        <is>
          <t>Gate 2: Legal &amp; Financial Readiness</t>
        </is>
      </c>
      <c r="O11" s="19" t="b">
        <v>1</v>
      </c>
      <c r="P11" s="20" t="inlineStr">
        <is>
          <t>clients/tmk-it-solutions/legal-drafts/franchise-agreement-draft.md</t>
        </is>
      </c>
    </row>
    <row r="12">
      <c r="A12" s="11" t="inlineStr">
        <is>
          <t>FLR-LGL-002</t>
        </is>
      </c>
      <c r="B12" s="20" t="inlineStr">
        <is>
          <t>Legal, Regulatory &amp; Intellectual Property</t>
        </is>
      </c>
      <c r="C12" s="6" t="inlineStr">
        <is>
          <t>Corporate Legal Counsel Review &amp; Compliance Certification</t>
        </is>
      </c>
      <c r="D12" s="20" t="inlineStr">
        <is>
          <t>Formal vetting by independent corporate legal counsel under Indian Contract Act, Specific Relief Act, and Consumer Protection laws.</t>
        </is>
      </c>
      <c r="E12" s="11" t="inlineStr">
        <is>
          <t>Critical</t>
        </is>
      </c>
      <c r="F12" s="20" t="inlineStr">
        <is>
          <t>Legal Counsel</t>
        </is>
      </c>
      <c r="G12" s="14" t="inlineStr">
        <is>
          <t>In Progress</t>
        </is>
      </c>
      <c r="H12" s="20" t="inlineStr">
        <is>
          <t>Legal and regulatory review</t>
        </is>
      </c>
      <c r="I12" s="20" t="inlineStr">
        <is>
          <t>Managing Partner</t>
        </is>
      </c>
      <c r="J12" s="20" t="inlineStr">
        <is>
          <t>Legal Counsel</t>
        </is>
      </c>
      <c r="K12" s="11" t="inlineStr">
        <is>
          <t>2026-12-01</t>
        </is>
      </c>
      <c r="L12" s="19">
        <f>IF(AND(K12&lt;TODAY(), G12&lt;&gt;"Document Approved", G12&lt;&gt;"Process Verified"), "OVERDUE", "On Track")</f>
        <v/>
      </c>
      <c r="M12" s="11" t="inlineStr">
        <is>
          <t>FLR-LGL-001</t>
        </is>
      </c>
      <c r="N12" s="20" t="inlineStr">
        <is>
          <t>Gate 2: Legal &amp; Financial Readiness</t>
        </is>
      </c>
      <c r="O12" s="19" t="b">
        <v>1</v>
      </c>
      <c r="P12" s="20" t="inlineStr">
        <is>
          <t>clients/tmk-it-solutions/legal-drafts/franchise-agreement-draft.md</t>
        </is>
      </c>
    </row>
    <row r="13">
      <c r="A13" s="11" t="inlineStr">
        <is>
          <t>FLR-LGL-003</t>
        </is>
      </c>
      <c r="B13" s="20" t="inlineStr">
        <is>
          <t>Legal, Regulatory &amp; Intellectual Property</t>
        </is>
      </c>
      <c r="C13" s="6" t="inlineStr">
        <is>
          <t>Territory Protection Policy &amp; Anti-Encroachment Covenant</t>
        </is>
      </c>
      <c r="D13" s="20" t="inlineStr">
        <is>
          <t>Draft formal legal policy governing 90-day Deal Registration Locks, territorial exclusivity boundaries, and dispute arbitration.</t>
        </is>
      </c>
      <c r="E13" s="11" t="inlineStr">
        <is>
          <t>High</t>
        </is>
      </c>
      <c r="F13" s="20" t="inlineStr">
        <is>
          <t>Analyst 1</t>
        </is>
      </c>
      <c r="G13" s="14" t="inlineStr">
        <is>
          <t>Document Created</t>
        </is>
      </c>
      <c r="H13" s="20" t="inlineStr">
        <is>
          <t>Documentation and presentation</t>
        </is>
      </c>
      <c r="I13" s="20" t="inlineStr">
        <is>
          <t>Legal Counsel</t>
        </is>
      </c>
      <c r="J13" s="20" t="inlineStr">
        <is>
          <t>Legal Counsel</t>
        </is>
      </c>
      <c r="K13" s="11" t="inlineStr">
        <is>
          <t>2026-10-26</t>
        </is>
      </c>
      <c r="L13" s="19">
        <f>IF(AND(K13&lt;TODAY(), G13&lt;&gt;"Document Approved", G13&lt;&gt;"Process Verified"), "OVERDUE", "On Track")</f>
        <v/>
      </c>
      <c r="M13" s="11" t="inlineStr">
        <is>
          <t>FLR-BMS-005</t>
        </is>
      </c>
      <c r="N13" s="20" t="inlineStr">
        <is>
          <t>Gate 2: Legal &amp; Financial Readiness</t>
        </is>
      </c>
      <c r="O13" s="11" t="b">
        <v>0</v>
      </c>
      <c r="P13" s="20" t="inlineStr">
        <is>
          <t>clients/tmk-it-solutions/legal-drafts/territory-policy-draft.md</t>
        </is>
      </c>
    </row>
    <row r="14">
      <c r="A14" s="11" t="inlineStr">
        <is>
          <t>FLR-LGL-004</t>
        </is>
      </c>
      <c r="B14" s="20" t="inlineStr">
        <is>
          <t>Legal, Regulatory &amp; Intellectual Property</t>
        </is>
      </c>
      <c r="C14" s="6" t="inlineStr">
        <is>
          <t>Trademark &amp; Brand Usage License Guidelines</t>
        </is>
      </c>
      <c r="D14" s="20" t="inlineStr">
        <is>
          <t>Draft trademark license terms specifying permitted use of TMK IT Solutions logos, trade dress, and signage standards.</t>
        </is>
      </c>
      <c r="E14" s="11" t="inlineStr">
        <is>
          <t>High</t>
        </is>
      </c>
      <c r="F14" s="20" t="inlineStr">
        <is>
          <t>Analyst 1</t>
        </is>
      </c>
      <c r="G14" s="14" t="inlineStr">
        <is>
          <t>Document Created</t>
        </is>
      </c>
      <c r="H14" s="20" t="inlineStr">
        <is>
          <t>Documentation and presentation</t>
        </is>
      </c>
      <c r="I14" s="20" t="inlineStr">
        <is>
          <t>Legal Counsel</t>
        </is>
      </c>
      <c r="J14" s="20" t="inlineStr">
        <is>
          <t>Legal Counsel</t>
        </is>
      </c>
      <c r="K14" s="11" t="inlineStr">
        <is>
          <t>2026-10-26</t>
        </is>
      </c>
      <c r="L14" s="19">
        <f>IF(AND(K14&lt;TODAY(), G14&lt;&gt;"Document Approved", G14&lt;&gt;"Process Verified"), "OVERDUE", "On Track")</f>
        <v/>
      </c>
      <c r="M14" s="11" t="inlineStr"/>
      <c r="N14" s="20" t="inlineStr">
        <is>
          <t>Gate 2: Legal &amp; Financial Readiness</t>
        </is>
      </c>
      <c r="O14" s="11" t="b">
        <v>0</v>
      </c>
      <c r="P14" s="20" t="inlineStr">
        <is>
          <t>clients/tmk-it-solutions/legal-drafts/brand-usage-policy-draft.md</t>
        </is>
      </c>
    </row>
    <row r="15">
      <c r="A15" s="11" t="inlineStr">
        <is>
          <t>FLR-LGL-005</t>
        </is>
      </c>
      <c r="B15" s="20" t="inlineStr">
        <is>
          <t>Legal, Regulatory &amp; Intellectual Property</t>
        </is>
      </c>
      <c r="C15" s="6" t="inlineStr">
        <is>
          <t>Franchise Renewal, Buyback &amp; Termination Policies</t>
        </is>
      </c>
      <c r="D15" s="20" t="inlineStr">
        <is>
          <t>Formulate legal policies governing contract renewals, performance hurdle benchmarks, voluntary surrender, and default termination.</t>
        </is>
      </c>
      <c r="E15" s="11" t="inlineStr">
        <is>
          <t>High</t>
        </is>
      </c>
      <c r="F15" s="20" t="inlineStr">
        <is>
          <t>Analyst 1</t>
        </is>
      </c>
      <c r="G15" s="14" t="inlineStr">
        <is>
          <t>Document Created</t>
        </is>
      </c>
      <c r="H15" s="20" t="inlineStr">
        <is>
          <t>Documentation and presentation</t>
        </is>
      </c>
      <c r="I15" s="20" t="inlineStr">
        <is>
          <t>Legal Counsel</t>
        </is>
      </c>
      <c r="J15" s="20" t="inlineStr">
        <is>
          <t>Legal Counsel</t>
        </is>
      </c>
      <c r="K15" s="11" t="inlineStr">
        <is>
          <t>2026-10-26</t>
        </is>
      </c>
      <c r="L15" s="19">
        <f>IF(AND(K15&lt;TODAY(), G15&lt;&gt;"Document Approved", G15&lt;&gt;"Process Verified"), "OVERDUE", "On Track")</f>
        <v/>
      </c>
      <c r="M15" s="11" t="inlineStr">
        <is>
          <t>FLR-LGL-001</t>
        </is>
      </c>
      <c r="N15" s="20" t="inlineStr">
        <is>
          <t>Gate 2: Legal &amp; Financial Readiness</t>
        </is>
      </c>
      <c r="O15" s="11" t="b">
        <v>0</v>
      </c>
      <c r="P15" s="20" t="inlineStr">
        <is>
          <t>clients/tmk-it-solutions/legal-drafts/franchise-renewal-policy-draft.md, clients/tmk-it-solutions/legal-drafts/franchise-termination-policy-draft.md</t>
        </is>
      </c>
    </row>
    <row r="16">
      <c r="A16" s="11" t="inlineStr">
        <is>
          <t>FLR-LGL-006</t>
        </is>
      </c>
      <c r="B16" s="20" t="inlineStr">
        <is>
          <t>Legal, Regulatory &amp; Intellectual Property</t>
        </is>
      </c>
      <c r="C16" s="6" t="inlineStr">
        <is>
          <t>Non-Disclosure &amp; Mutual Confidentiality Agreement</t>
        </is>
      </c>
      <c r="D16" s="20" t="inlineStr">
        <is>
          <t>Draft bilateral NDA executed with prospective franchise candidates prior to sharing proprietary product documentation.</t>
        </is>
      </c>
      <c r="E16" s="11" t="inlineStr">
        <is>
          <t>Medium</t>
        </is>
      </c>
      <c r="F16" s="20" t="inlineStr">
        <is>
          <t>Analyst 1</t>
        </is>
      </c>
      <c r="G16" s="14" t="inlineStr">
        <is>
          <t>Document Created</t>
        </is>
      </c>
      <c r="H16" s="20" t="inlineStr">
        <is>
          <t>Documentation and presentation</t>
        </is>
      </c>
      <c r="I16" s="20" t="inlineStr">
        <is>
          <t>Legal Counsel</t>
        </is>
      </c>
      <c r="J16" s="20" t="inlineStr">
        <is>
          <t>Legal Counsel</t>
        </is>
      </c>
      <c r="K16" s="11" t="inlineStr">
        <is>
          <t>2026-10-26</t>
        </is>
      </c>
      <c r="L16" s="19">
        <f>IF(AND(K16&lt;TODAY(), G16&lt;&gt;"Document Approved", G16&lt;&gt;"Process Verified"), "OVERDUE", "On Track")</f>
        <v/>
      </c>
      <c r="M16" s="11" t="inlineStr"/>
      <c r="N16" s="20" t="inlineStr">
        <is>
          <t>Gate 2: Legal &amp; Financial Readiness</t>
        </is>
      </c>
      <c r="O16" s="11" t="b">
        <v>0</v>
      </c>
      <c r="P16" s="20" t="inlineStr">
        <is>
          <t>clients/tmk-it-solutions/legal-drafts/confidentiality-agreement-draft.md</t>
        </is>
      </c>
    </row>
    <row r="17">
      <c r="A17" s="11" t="inlineStr">
        <is>
          <t>FLR-PRD-001</t>
        </is>
      </c>
      <c r="B17" s="20" t="inlineStr">
        <is>
          <t>Six-Product Sales Readiness</t>
        </is>
      </c>
      <c r="C17" s="6" t="inlineStr">
        <is>
          <t>Cloud Enterprise ERP Commercial Profile &amp; Spec</t>
        </is>
      </c>
      <c r="D17" s="20" t="inlineStr">
        <is>
          <t>Document product feature breakdown, target MSME buyer personas, pricing tiers, and delivery model for prd-01 Enterprise ERP.</t>
        </is>
      </c>
      <c r="E17" s="11" t="inlineStr">
        <is>
          <t>High</t>
        </is>
      </c>
      <c r="F17" s="20" t="inlineStr">
        <is>
          <t>Analyst 1</t>
        </is>
      </c>
      <c r="G17" s="21" t="inlineStr">
        <is>
          <t>Document Approved</t>
        </is>
      </c>
      <c r="H17" s="20" t="inlineStr">
        <is>
          <t>Documentation and presentation</t>
        </is>
      </c>
      <c r="I17" s="20" t="inlineStr">
        <is>
          <t>Lead Software Architect</t>
        </is>
      </c>
      <c r="J17" s="20" t="inlineStr">
        <is>
          <t>Lead Software Architect</t>
        </is>
      </c>
      <c r="K17" s="11" t="inlineStr">
        <is>
          <t>2026-10-26</t>
        </is>
      </c>
      <c r="L17" s="19">
        <f>IF(AND(K17&lt;TODAY(), G17&lt;&gt;"Document Approved", G17&lt;&gt;"Process Verified"), "OVERDUE", "On Track")</f>
        <v/>
      </c>
      <c r="M17" s="11" t="inlineStr"/>
      <c r="N17" s="20" t="inlineStr">
        <is>
          <t>Gate 3: Product &amp; Delivery Readiness</t>
        </is>
      </c>
      <c r="O17" s="11" t="b">
        <v>0</v>
      </c>
      <c r="P17" s="20" t="inlineStr">
        <is>
          <t>clients/tmk-it-solutions/products/devops-automation.md</t>
        </is>
      </c>
    </row>
    <row r="18">
      <c r="A18" s="11" t="inlineStr">
        <is>
          <t>FLR-PRD-002</t>
        </is>
      </c>
      <c r="B18" s="20" t="inlineStr">
        <is>
          <t>Six-Product Sales Readiness</t>
        </is>
      </c>
      <c r="C18" s="6" t="inlineStr">
        <is>
          <t>School &amp; College Management ERP Commercial Profile</t>
        </is>
      </c>
      <c r="D18" s="20" t="inlineStr">
        <is>
          <t>Document educational software modules (admissions, fee billing, exams) and school demographic targeting.</t>
        </is>
      </c>
      <c r="E18" s="11" t="inlineStr">
        <is>
          <t>High</t>
        </is>
      </c>
      <c r="F18" s="20" t="inlineStr">
        <is>
          <t>Analyst 1</t>
        </is>
      </c>
      <c r="G18" s="21" t="inlineStr">
        <is>
          <t>Document Approved</t>
        </is>
      </c>
      <c r="H18" s="20" t="inlineStr">
        <is>
          <t>Documentation and presentation</t>
        </is>
      </c>
      <c r="I18" s="20" t="inlineStr">
        <is>
          <t>Lead Software Architect</t>
        </is>
      </c>
      <c r="J18" s="20" t="inlineStr">
        <is>
          <t>Lead Software Architect</t>
        </is>
      </c>
      <c r="K18" s="11" t="inlineStr">
        <is>
          <t>2026-10-26</t>
        </is>
      </c>
      <c r="L18" s="19">
        <f>IF(AND(K18&lt;TODAY(), G18&lt;&gt;"Document Approved", G18&lt;&gt;"Process Verified"), "OVERDUE", "On Track")</f>
        <v/>
      </c>
      <c r="M18" s="11" t="inlineStr"/>
      <c r="N18" s="20" t="inlineStr">
        <is>
          <t>Gate 3: Product &amp; Delivery Readiness</t>
        </is>
      </c>
      <c r="O18" s="11" t="b">
        <v>0</v>
      </c>
      <c r="P18" s="20" t="inlineStr">
        <is>
          <t>clients/tmk-it-solutions/products/school-college-erp.md</t>
        </is>
      </c>
    </row>
    <row r="19">
      <c r="A19" s="11" t="inlineStr">
        <is>
          <t>FLR-PRD-003</t>
        </is>
      </c>
      <c r="B19" s="20" t="inlineStr">
        <is>
          <t>Six-Product Sales Readiness</t>
        </is>
      </c>
      <c r="C19" s="6" t="inlineStr">
        <is>
          <t>OMR Examination Software Commercial Profile</t>
        </is>
      </c>
      <c r="D19" s="20" t="inlineStr">
        <is>
          <t>Document optical mark recognition software pricing, offline scanning hardware compatibility, and school evaluation workflows.</t>
        </is>
      </c>
      <c r="E19" s="11" t="inlineStr">
        <is>
          <t>Medium</t>
        </is>
      </c>
      <c r="F19" s="20" t="inlineStr">
        <is>
          <t>Analyst 1</t>
        </is>
      </c>
      <c r="G19" s="21" t="inlineStr">
        <is>
          <t>Document Approved</t>
        </is>
      </c>
      <c r="H19" s="20" t="inlineStr">
        <is>
          <t>Documentation and presentation</t>
        </is>
      </c>
      <c r="I19" s="20" t="inlineStr">
        <is>
          <t>Lead Software Architect</t>
        </is>
      </c>
      <c r="J19" s="20" t="inlineStr">
        <is>
          <t>Lead Software Architect</t>
        </is>
      </c>
      <c r="K19" s="11" t="inlineStr">
        <is>
          <t>2026-10-26</t>
        </is>
      </c>
      <c r="L19" s="19">
        <f>IF(AND(K19&lt;TODAY(), G19&lt;&gt;"Document Approved", G19&lt;&gt;"Process Verified"), "OVERDUE", "On Track")</f>
        <v/>
      </c>
      <c r="M19" s="11" t="inlineStr"/>
      <c r="N19" s="20" t="inlineStr">
        <is>
          <t>Gate 3: Product &amp; Delivery Readiness</t>
        </is>
      </c>
      <c r="O19" s="11" t="b">
        <v>0</v>
      </c>
      <c r="P19" s="20" t="inlineStr">
        <is>
          <t>clients/tmk-it-solutions/products/omr-software.md</t>
        </is>
      </c>
    </row>
    <row r="20">
      <c r="A20" s="11" t="inlineStr">
        <is>
          <t>FLR-PRD-004</t>
        </is>
      </c>
      <c r="B20" s="20" t="inlineStr">
        <is>
          <t>Six-Product Sales Readiness</t>
        </is>
      </c>
      <c r="C20" s="6" t="inlineStr">
        <is>
          <t>Property Management ERP Commercial Profile</t>
        </is>
      </c>
      <c r="D20" s="20" t="inlineStr">
        <is>
          <t>Document housing society, commercial real estate, and tenant maintenance billing software modules.</t>
        </is>
      </c>
      <c r="E20" s="11" t="inlineStr">
        <is>
          <t>Medium</t>
        </is>
      </c>
      <c r="F20" s="20" t="inlineStr">
        <is>
          <t>Analyst 1</t>
        </is>
      </c>
      <c r="G20" s="21" t="inlineStr">
        <is>
          <t>Document Approved</t>
        </is>
      </c>
      <c r="H20" s="20" t="inlineStr">
        <is>
          <t>Documentation and presentation</t>
        </is>
      </c>
      <c r="I20" s="20" t="inlineStr">
        <is>
          <t>Lead Software Architect</t>
        </is>
      </c>
      <c r="J20" s="20" t="inlineStr">
        <is>
          <t>Lead Software Architect</t>
        </is>
      </c>
      <c r="K20" s="11" t="inlineStr">
        <is>
          <t>2026-10-26</t>
        </is>
      </c>
      <c r="L20" s="19">
        <f>IF(AND(K20&lt;TODAY(), G20&lt;&gt;"Document Approved", G20&lt;&gt;"Process Verified"), "OVERDUE", "On Track")</f>
        <v/>
      </c>
      <c r="M20" s="11" t="inlineStr"/>
      <c r="N20" s="20" t="inlineStr">
        <is>
          <t>Gate 3: Product &amp; Delivery Readiness</t>
        </is>
      </c>
      <c r="O20" s="11" t="b">
        <v>0</v>
      </c>
      <c r="P20" s="20" t="inlineStr">
        <is>
          <t>clients/tmk-it-solutions/products/property-management-erp.md</t>
        </is>
      </c>
    </row>
    <row r="21">
      <c r="A21" s="11" t="inlineStr">
        <is>
          <t>FLR-PRD-005</t>
        </is>
      </c>
      <c r="B21" s="20" t="inlineStr">
        <is>
          <t>Six-Product Sales Readiness</t>
        </is>
      </c>
      <c r="C21" s="6" t="inlineStr">
        <is>
          <t>Invoicing &amp; Billing App (Web + Mobile) Commercial Profile</t>
        </is>
      </c>
      <c r="D21" s="20" t="inlineStr">
        <is>
          <t>Document lightweight GST billing application for retail shops and micro-merchants.</t>
        </is>
      </c>
      <c r="E21" s="11" t="inlineStr">
        <is>
          <t>High</t>
        </is>
      </c>
      <c r="F21" s="20" t="inlineStr">
        <is>
          <t>Analyst 1</t>
        </is>
      </c>
      <c r="G21" s="21" t="inlineStr">
        <is>
          <t>Document Approved</t>
        </is>
      </c>
      <c r="H21" s="20" t="inlineStr">
        <is>
          <t>Documentation and presentation</t>
        </is>
      </c>
      <c r="I21" s="20" t="inlineStr">
        <is>
          <t>Lead Software Architect</t>
        </is>
      </c>
      <c r="J21" s="20" t="inlineStr">
        <is>
          <t>Lead Software Architect</t>
        </is>
      </c>
      <c r="K21" s="11" t="inlineStr">
        <is>
          <t>2026-10-26</t>
        </is>
      </c>
      <c r="L21" s="19">
        <f>IF(AND(K21&lt;TODAY(), G21&lt;&gt;"Document Approved", G21&lt;&gt;"Process Verified"), "OVERDUE", "On Track")</f>
        <v/>
      </c>
      <c r="M21" s="11" t="inlineStr"/>
      <c r="N21" s="20" t="inlineStr">
        <is>
          <t>Gate 3: Product &amp; Delivery Readiness</t>
        </is>
      </c>
      <c r="O21" s="11" t="b">
        <v>0</v>
      </c>
      <c r="P21" s="20" t="inlineStr">
        <is>
          <t>clients/tmk-it-solutions/products/invoicing-app-web.md</t>
        </is>
      </c>
    </row>
    <row r="22">
      <c r="A22" s="11" t="inlineStr">
        <is>
          <t>FLR-PRD-006</t>
        </is>
      </c>
      <c r="B22" s="20" t="inlineStr">
        <is>
          <t>Six-Product Sales Readiness</t>
        </is>
      </c>
      <c r="C22" s="6" t="inlineStr">
        <is>
          <t>Sales CRM Platform Commercial Profile</t>
        </is>
      </c>
      <c r="D22" s="20" t="inlineStr">
        <is>
          <t>Document lead pipeline management, WhatsApp integration, and sales telemetry for regional businesses.</t>
        </is>
      </c>
      <c r="E22" s="11" t="inlineStr">
        <is>
          <t>High</t>
        </is>
      </c>
      <c r="F22" s="20" t="inlineStr">
        <is>
          <t>Analyst 1</t>
        </is>
      </c>
      <c r="G22" s="21" t="inlineStr">
        <is>
          <t>Document Approved</t>
        </is>
      </c>
      <c r="H22" s="20" t="inlineStr">
        <is>
          <t>Documentation and presentation</t>
        </is>
      </c>
      <c r="I22" s="20" t="inlineStr">
        <is>
          <t>Lead Software Architect</t>
        </is>
      </c>
      <c r="J22" s="20" t="inlineStr">
        <is>
          <t>Lead Software Architect</t>
        </is>
      </c>
      <c r="K22" s="11" t="inlineStr">
        <is>
          <t>2026-10-26</t>
        </is>
      </c>
      <c r="L22" s="19">
        <f>IF(AND(K22&lt;TODAY(), G22&lt;&gt;"Document Approved", G22&lt;&gt;"Process Verified"), "OVERDUE", "On Track")</f>
        <v/>
      </c>
      <c r="M22" s="11" t="inlineStr"/>
      <c r="N22" s="20" t="inlineStr">
        <is>
          <t>Gate 3: Product &amp; Delivery Readiness</t>
        </is>
      </c>
      <c r="O22" s="11" t="b">
        <v>0</v>
      </c>
      <c r="P22" s="20" t="inlineStr">
        <is>
          <t>clients/tmk-it-solutions/products/sales-crm.md</t>
        </is>
      </c>
    </row>
    <row r="23">
      <c r="A23" s="11" t="inlineStr">
        <is>
          <t>FLR-PRD-007</t>
        </is>
      </c>
      <c r="B23" s="20" t="inlineStr">
        <is>
          <t>Six-Product Sales Readiness</t>
        </is>
      </c>
      <c r="C23" s="6" t="inlineStr">
        <is>
          <t>Live Multi-Tenant Cloud Demonstration Sandbox</t>
        </is>
      </c>
      <c r="D23" s="20" t="inlineStr">
        <is>
          <t>Deploy stable cloud demonstration instances for all 6 products pre-populated with synthetic demonstration data.</t>
        </is>
      </c>
      <c r="E23" s="11" t="inlineStr">
        <is>
          <t>Critical</t>
        </is>
      </c>
      <c r="F23" s="20" t="inlineStr">
        <is>
          <t>Lead Software Architect</t>
        </is>
      </c>
      <c r="G23" s="14" t="inlineStr">
        <is>
          <t>In Progress</t>
        </is>
      </c>
      <c r="H23" s="20" t="inlineStr">
        <is>
          <t>Product engineering</t>
        </is>
      </c>
      <c r="I23" s="20" t="inlineStr">
        <is>
          <t>Managing Partner</t>
        </is>
      </c>
      <c r="J23" s="20" t="inlineStr">
        <is>
          <t>Lead Software Architect</t>
        </is>
      </c>
      <c r="K23" s="11" t="inlineStr">
        <is>
          <t>2026-12-15</t>
        </is>
      </c>
      <c r="L23" s="19">
        <f>IF(AND(K23&lt;TODAY(), G23&lt;&gt;"Document Approved", G23&lt;&gt;"Process Verified"), "OVERDUE", "On Track")</f>
        <v/>
      </c>
      <c r="M23" s="11" t="inlineStr">
        <is>
          <t>FLR-PRD-001, FLR-PRD-002, FLR-PRD-003, FLR-PRD-004, FLR-PRD-005, FLR-PRD-006</t>
        </is>
      </c>
      <c r="N23" s="20" t="inlineStr">
        <is>
          <t>Gate 3: Product &amp; Delivery Readiness</t>
        </is>
      </c>
      <c r="O23" s="19" t="b">
        <v>1</v>
      </c>
      <c r="P23" s="20" t="inlineStr">
        <is>
          <t>clients/tmk-it-solutions/products/products-catalog.json</t>
        </is>
      </c>
    </row>
    <row r="24">
      <c r="A24" s="11" t="inlineStr">
        <is>
          <t>FLR-PRD-008</t>
        </is>
      </c>
      <c r="B24" s="20" t="inlineStr">
        <is>
          <t>Six-Product Sales Readiness</t>
        </is>
      </c>
      <c r="C24" s="6" t="inlineStr">
        <is>
          <t>Competitor Benchmarking &amp; Sales Battlecards</t>
        </is>
      </c>
      <c r="D24" s="20" t="inlineStr">
        <is>
          <t>Equip partners with competitive comparisons against TallyPrime, Marg ERP, Teachmint, Vyapar, and Zoho.</t>
        </is>
      </c>
      <c r="E24" s="11" t="inlineStr">
        <is>
          <t>High</t>
        </is>
      </c>
      <c r="F24" s="20" t="inlineStr">
        <is>
          <t>Analyst 1</t>
        </is>
      </c>
      <c r="G24" s="21" t="inlineStr">
        <is>
          <t>Document Approved</t>
        </is>
      </c>
      <c r="H24" s="20" t="inlineStr">
        <is>
          <t>Business research and modeling</t>
        </is>
      </c>
      <c r="I24" s="20" t="inlineStr">
        <is>
          <t>Analyst 2</t>
        </is>
      </c>
      <c r="J24" s="20" t="inlineStr">
        <is>
          <t>Practice Lead</t>
        </is>
      </c>
      <c r="K24" s="11" t="inlineStr">
        <is>
          <t>2026-10-26</t>
        </is>
      </c>
      <c r="L24" s="19">
        <f>IF(AND(K24&lt;TODAY(), G24&lt;&gt;"Document Approved", G24&lt;&gt;"Process Verified"), "OVERDUE", "On Track")</f>
        <v/>
      </c>
      <c r="M24" s="11" t="inlineStr"/>
      <c r="N24" s="20" t="inlineStr">
        <is>
          <t>Gate 3: Product &amp; Delivery Readiness</t>
        </is>
      </c>
      <c r="O24" s="11" t="b">
        <v>0</v>
      </c>
      <c r="P24" s="20" t="inlineStr">
        <is>
          <t>clients/tmk-it-solutions/research/competitor-landscape.md</t>
        </is>
      </c>
    </row>
    <row r="25">
      <c r="A25" s="11" t="inlineStr">
        <is>
          <t>FLR-FIN-001</t>
        </is>
      </c>
      <c r="B25" s="20" t="inlineStr">
        <is>
          <t>Finance, Banking &amp; Accounting</t>
        </is>
      </c>
      <c r="C25" s="6" t="inlineStr">
        <is>
          <t>Financial Assumptions Master Config &amp; Schema Compliance</t>
        </is>
      </c>
      <c r="D25" s="20" t="inlineStr">
        <is>
          <t>Establish validated assumptions.json governing CapEx, monthly fixed OpEx, fee schedules, tax rates, and scenarios.</t>
        </is>
      </c>
      <c r="E25" s="11" t="inlineStr">
        <is>
          <t>Critical</t>
        </is>
      </c>
      <c r="F25" s="20" t="inlineStr">
        <is>
          <t>Analyst 2</t>
        </is>
      </c>
      <c r="G25" s="21" t="inlineStr">
        <is>
          <t>Document Approved</t>
        </is>
      </c>
      <c r="H25" s="20" t="inlineStr">
        <is>
          <t>Finance and accounting</t>
        </is>
      </c>
      <c r="I25" s="20" t="inlineStr">
        <is>
          <t>Finance Director / CA</t>
        </is>
      </c>
      <c r="J25" s="20" t="inlineStr">
        <is>
          <t>Finance Director / CA</t>
        </is>
      </c>
      <c r="K25" s="11" t="inlineStr">
        <is>
          <t>2026-10-26</t>
        </is>
      </c>
      <c r="L25" s="19">
        <f>IF(AND(K25&lt;TODAY(), G25&lt;&gt;"Document Approved", G25&lt;&gt;"Process Verified"), "OVERDUE", "On Track")</f>
        <v/>
      </c>
      <c r="M25" s="11" t="inlineStr"/>
      <c r="N25" s="20" t="inlineStr">
        <is>
          <t>Gate 1: Business Model Approved</t>
        </is>
      </c>
      <c r="O25" s="19" t="b">
        <v>1</v>
      </c>
      <c r="P25" s="20" t="inlineStr">
        <is>
          <t>clients/tmk-it-solutions/financial-models/assumptions.json</t>
        </is>
      </c>
    </row>
    <row r="26">
      <c r="A26" s="11" t="inlineStr">
        <is>
          <t>FLR-FIN-002</t>
        </is>
      </c>
      <c r="B26" s="20" t="inlineStr">
        <is>
          <t>Finance, Banking &amp; Accounting</t>
        </is>
      </c>
      <c r="C26" s="6" t="inlineStr">
        <is>
          <t>Dynamic 10-Sheet Excel Financial Model Generation</t>
        </is>
      </c>
      <c r="D26" s="20" t="inlineStr">
        <is>
          <t>Generate dynamic, formula-linked openpyxl Excel financial model with uppercase formulas and zero hardcoded numbers.</t>
        </is>
      </c>
      <c r="E26" s="11" t="inlineStr">
        <is>
          <t>Critical</t>
        </is>
      </c>
      <c r="F26" s="20" t="inlineStr">
        <is>
          <t>Analyst 2</t>
        </is>
      </c>
      <c r="G26" s="21" t="inlineStr">
        <is>
          <t>Process Implemented</t>
        </is>
      </c>
      <c r="H26" s="20" t="inlineStr">
        <is>
          <t>Finance and accounting</t>
        </is>
      </c>
      <c r="I26" s="20" t="inlineStr">
        <is>
          <t>Finance Director / CA</t>
        </is>
      </c>
      <c r="J26" s="20" t="inlineStr">
        <is>
          <t>Finance Director / CA</t>
        </is>
      </c>
      <c r="K26" s="11" t="inlineStr">
        <is>
          <t>2026-10-26</t>
        </is>
      </c>
      <c r="L26" s="19">
        <f>IF(AND(K26&lt;TODAY(), G26&lt;&gt;"Document Approved", G26&lt;&gt;"Process Verified"), "OVERDUE", "On Track")</f>
        <v/>
      </c>
      <c r="M26" s="11" t="inlineStr">
        <is>
          <t>FLR-FIN-001</t>
        </is>
      </c>
      <c r="N26" s="20" t="inlineStr">
        <is>
          <t>Gate 1: Business Model Approved</t>
        </is>
      </c>
      <c r="O26" s="19" t="b">
        <v>1</v>
      </c>
      <c r="P26" s="20" t="inlineStr">
        <is>
          <t>clients/tmk-it-solutions/financial-models/tmk_it_solutions_franchise_financial_model.xlsx</t>
        </is>
      </c>
    </row>
    <row r="27">
      <c r="A27" s="11" t="inlineStr">
        <is>
          <t>FLR-FIN-003</t>
        </is>
      </c>
      <c r="B27" s="20" t="inlineStr">
        <is>
          <t>Finance, Banking &amp; Accounting</t>
        </is>
      </c>
      <c r="C27" s="6" t="inlineStr">
        <is>
          <t>36-Month P&amp;L Projections &amp; Break-Even Analysis Summary</t>
        </is>
      </c>
      <c r="D27" s="20" t="inlineStr">
        <is>
          <t>Document narrative summary of monthly cash flows, unit break-even requirements (2 contracts/mo), and payback timeline.</t>
        </is>
      </c>
      <c r="E27" s="11" t="inlineStr">
        <is>
          <t>High</t>
        </is>
      </c>
      <c r="F27" s="20" t="inlineStr">
        <is>
          <t>Analyst 2</t>
        </is>
      </c>
      <c r="G27" s="21" t="inlineStr">
        <is>
          <t>Document Approved</t>
        </is>
      </c>
      <c r="H27" s="20" t="inlineStr">
        <is>
          <t>Documentation and presentation</t>
        </is>
      </c>
      <c r="I27" s="20" t="inlineStr">
        <is>
          <t>Analyst 1</t>
        </is>
      </c>
      <c r="J27" s="20" t="inlineStr">
        <is>
          <t>Practice Lead</t>
        </is>
      </c>
      <c r="K27" s="11" t="inlineStr">
        <is>
          <t>2026-10-26</t>
        </is>
      </c>
      <c r="L27" s="19">
        <f>IF(AND(K27&lt;TODAY(), G27&lt;&gt;"Document Approved", G27&lt;&gt;"Process Verified"), "OVERDUE", "On Track")</f>
        <v/>
      </c>
      <c r="M27" s="11" t="inlineStr">
        <is>
          <t>FLR-FIN-002</t>
        </is>
      </c>
      <c r="N27" s="20" t="inlineStr">
        <is>
          <t>Gate 1: Business Model Approved</t>
        </is>
      </c>
      <c r="O27" s="11" t="b">
        <v>0</v>
      </c>
      <c r="P27" s="20" t="inlineStr">
        <is>
          <t>clients/tmk-it-solutions/financial-models/financial-projections-summary.md</t>
        </is>
      </c>
    </row>
    <row r="28">
      <c r="A28" s="11" t="inlineStr">
        <is>
          <t>FLR-FIN-004</t>
        </is>
      </c>
      <c r="B28" s="20" t="inlineStr">
        <is>
          <t>Finance, Banking &amp; Accounting</t>
        </is>
      </c>
      <c r="C28" s="6" t="inlineStr">
        <is>
          <t>Statutory Pass-Through Tax Isolation Engine (18% GST)</t>
        </is>
      </c>
      <c r="D28" s="20" t="inlineStr">
        <is>
          <t>Verify that all financial models and billing tools isolate 18% GST from gross billing before computing commission splits.</t>
        </is>
      </c>
      <c r="E28" s="11" t="inlineStr">
        <is>
          <t>Critical</t>
        </is>
      </c>
      <c r="F28" s="20" t="inlineStr">
        <is>
          <t>Analyst 2</t>
        </is>
      </c>
      <c r="G28" s="21" t="inlineStr">
        <is>
          <t>Process Verified</t>
        </is>
      </c>
      <c r="H28" s="20" t="inlineStr">
        <is>
          <t>Finance and accounting</t>
        </is>
      </c>
      <c r="I28" s="20" t="inlineStr">
        <is>
          <t>Finance Director / CA</t>
        </is>
      </c>
      <c r="J28" s="20" t="inlineStr">
        <is>
          <t>Finance Director / CA</t>
        </is>
      </c>
      <c r="K28" s="11" t="inlineStr">
        <is>
          <t>2026-10-26</t>
        </is>
      </c>
      <c r="L28" s="19">
        <f>IF(AND(K28&lt;TODAY(), G28&lt;&gt;"Document Approved", G28&lt;&gt;"Process Verified"), "OVERDUE", "On Track")</f>
        <v/>
      </c>
      <c r="M28" s="11" t="inlineStr">
        <is>
          <t>FLR-FIN-001</t>
        </is>
      </c>
      <c r="N28" s="20" t="inlineStr">
        <is>
          <t>Gate 2: Legal &amp; Financial Readiness</t>
        </is>
      </c>
      <c r="O28" s="19" t="b">
        <v>1</v>
      </c>
      <c r="P28" s="20" t="inlineStr">
        <is>
          <t>tools/financial-modeling/calculator.py</t>
        </is>
      </c>
    </row>
    <row r="29">
      <c r="A29" s="11" t="inlineStr">
        <is>
          <t>FLR-FIN-005</t>
        </is>
      </c>
      <c r="B29" s="20" t="inlineStr">
        <is>
          <t>Finance, Banking &amp; Accounting</t>
        </is>
      </c>
      <c r="C29" s="6" t="inlineStr">
        <is>
          <t>Franchisee Working Capital Reserve Verification Standard</t>
        </is>
      </c>
      <c r="D29" s="20" t="inlineStr">
        <is>
          <t>Codify mandatory liquid capital cushion requirement (₹50,000–₹1,00,000 covering 4–6 months overhead) in assumptions.</t>
        </is>
      </c>
      <c r="E29" s="11" t="inlineStr">
        <is>
          <t>High</t>
        </is>
      </c>
      <c r="F29" s="20" t="inlineStr">
        <is>
          <t>Analyst 2</t>
        </is>
      </c>
      <c r="G29" s="21" t="inlineStr">
        <is>
          <t>Document Approved</t>
        </is>
      </c>
      <c r="H29" s="20" t="inlineStr">
        <is>
          <t>Finance and accounting</t>
        </is>
      </c>
      <c r="I29" s="20" t="inlineStr">
        <is>
          <t>Finance Director / CA</t>
        </is>
      </c>
      <c r="J29" s="20" t="inlineStr">
        <is>
          <t>Finance Director / CA</t>
        </is>
      </c>
      <c r="K29" s="11" t="inlineStr">
        <is>
          <t>2026-10-26</t>
        </is>
      </c>
      <c r="L29" s="19">
        <f>IF(AND(K29&lt;TODAY(), G29&lt;&gt;"Document Approved", G29&lt;&gt;"Process Verified"), "OVERDUE", "On Track")</f>
        <v/>
      </c>
      <c r="M29" s="11" t="inlineStr">
        <is>
          <t>FLR-FIN-001</t>
        </is>
      </c>
      <c r="N29" s="20" t="inlineStr">
        <is>
          <t>Gate 2: Legal &amp; Financial Readiness</t>
        </is>
      </c>
      <c r="O29" s="19" t="b">
        <v>1</v>
      </c>
      <c r="P29" s="20" t="inlineStr">
        <is>
          <t>clients/tmk-it-solutions/research/franchisee-investment-feasibility.md</t>
        </is>
      </c>
    </row>
    <row r="30">
      <c r="A30" s="11" t="inlineStr">
        <is>
          <t>FLR-FIN-006</t>
        </is>
      </c>
      <c r="B30" s="20" t="inlineStr">
        <is>
          <t>Finance, Banking &amp; Accounting</t>
        </is>
      </c>
      <c r="C30" s="6" t="inlineStr">
        <is>
          <t>Dedicated Franchisor Escrow &amp; Commission Settlement Account</t>
        </is>
      </c>
      <c r="D30" s="20" t="inlineStr">
        <is>
          <t>Establish dedicated commercial bank account and automated escrow disbursement procedure for partner revenue splits.</t>
        </is>
      </c>
      <c r="E30" s="11" t="inlineStr">
        <is>
          <t>Critical</t>
        </is>
      </c>
      <c r="F30" s="20" t="inlineStr">
        <is>
          <t>Finance Director / CA</t>
        </is>
      </c>
      <c r="G30" s="14" t="inlineStr">
        <is>
          <t>In Progress</t>
        </is>
      </c>
      <c r="H30" s="20" t="inlineStr">
        <is>
          <t>Finance and accounting</t>
        </is>
      </c>
      <c r="I30" s="20" t="inlineStr">
        <is>
          <t>Managing Partner</t>
        </is>
      </c>
      <c r="J30" s="20" t="inlineStr">
        <is>
          <t>Managing Partner</t>
        </is>
      </c>
      <c r="K30" s="11" t="inlineStr">
        <is>
          <t>2026-12-01</t>
        </is>
      </c>
      <c r="L30" s="19">
        <f>IF(AND(K30&lt;TODAY(), G30&lt;&gt;"Document Approved", G30&lt;&gt;"Process Verified"), "OVERDUE", "On Track")</f>
        <v/>
      </c>
      <c r="M30" s="11" t="inlineStr">
        <is>
          <t>FLR-FIN-004</t>
        </is>
      </c>
      <c r="N30" s="20" t="inlineStr">
        <is>
          <t>Gate 2: Legal &amp; Financial Readiness</t>
        </is>
      </c>
      <c r="O30" s="19" t="b">
        <v>1</v>
      </c>
      <c r="P30" s="20" t="inlineStr">
        <is>
          <t>clients/tmk-it-solutions/legal-drafts/revenue-sharing-policy-draft.md</t>
        </is>
      </c>
    </row>
    <row r="31">
      <c r="A31" s="11" t="inlineStr">
        <is>
          <t>FLR-OPS-001</t>
        </is>
      </c>
      <c r="B31" s="20" t="inlineStr">
        <is>
          <t>Franchise Operations &amp; SOPs</t>
        </is>
      </c>
      <c r="C31" s="6" t="inlineStr">
        <is>
          <t>Franchisee Operations Handbook &amp; Facility Launch SOP</t>
        </is>
      </c>
      <c r="D31" s="20" t="inlineStr">
        <is>
          <t>Author operational handbook detailing office setup, brand signage, daily opening/closing procedures, and customer onboarding.</t>
        </is>
      </c>
      <c r="E31" s="11" t="inlineStr">
        <is>
          <t>High</t>
        </is>
      </c>
      <c r="F31" s="20" t="inlineStr">
        <is>
          <t>Analyst 1</t>
        </is>
      </c>
      <c r="G31" s="14" t="inlineStr">
        <is>
          <t>Document Created</t>
        </is>
      </c>
      <c r="H31" s="20" t="inlineStr">
        <is>
          <t>Documentation and presentation</t>
        </is>
      </c>
      <c r="I31" s="20" t="inlineStr">
        <is>
          <t>Franchise Operations Lead</t>
        </is>
      </c>
      <c r="J31" s="20" t="inlineStr">
        <is>
          <t>Franchise Operations Lead</t>
        </is>
      </c>
      <c r="K31" s="11" t="inlineStr">
        <is>
          <t>2026-10-26</t>
        </is>
      </c>
      <c r="L31" s="19">
        <f>IF(AND(K31&lt;TODAY(), G31&lt;&gt;"Document Approved", G31&lt;&gt;"Process Verified"), "OVERDUE", "On Track")</f>
        <v/>
      </c>
      <c r="M31" s="11" t="inlineStr"/>
      <c r="N31" s="20" t="inlineStr">
        <is>
          <t>Gate 5: Pilot Launch Readiness</t>
        </is>
      </c>
      <c r="O31" s="11" t="b">
        <v>0</v>
      </c>
      <c r="P31" s="20" t="inlineStr">
        <is>
          <t>clients/tmk-it-solutions/operations/franchise-operations-handbook.md</t>
        </is>
      </c>
    </row>
    <row r="32">
      <c r="A32" s="11" t="inlineStr">
        <is>
          <t>FLR-OPS-002</t>
        </is>
      </c>
      <c r="B32" s="20" t="inlineStr">
        <is>
          <t>Franchise Operations &amp; SOPs</t>
        </is>
      </c>
      <c r="C32" s="6" t="inlineStr">
        <is>
          <t>Customer Support SLA &amp; Engineering Escalation Matrix</t>
        </is>
      </c>
      <c r="D32" s="20" t="inlineStr">
        <is>
          <t>Establish formal service level agreement defining resolution windows: P1 Critical (&lt; 2h), P2 Major (&lt; 8h), P3 Minor (&lt; 24h).</t>
        </is>
      </c>
      <c r="E32" s="11" t="inlineStr">
        <is>
          <t>Critical</t>
        </is>
      </c>
      <c r="F32" s="20" t="inlineStr">
        <is>
          <t>Analyst 1</t>
        </is>
      </c>
      <c r="G32" s="21" t="inlineStr">
        <is>
          <t>Document Approved</t>
        </is>
      </c>
      <c r="H32" s="20" t="inlineStr">
        <is>
          <t>Franchise operations</t>
        </is>
      </c>
      <c r="I32" s="20" t="inlineStr">
        <is>
          <t>Lead Software Architect</t>
        </is>
      </c>
      <c r="J32" s="20" t="inlineStr">
        <is>
          <t>Lead Software Architect</t>
        </is>
      </c>
      <c r="K32" s="11" t="inlineStr">
        <is>
          <t>2026-10-26</t>
        </is>
      </c>
      <c r="L32" s="19">
        <f>IF(AND(K32&lt;TODAY(), G32&lt;&gt;"Document Approved", G32&lt;&gt;"Process Verified"), "OVERDUE", "On Track")</f>
        <v/>
      </c>
      <c r="M32" s="11" t="inlineStr"/>
      <c r="N32" s="20" t="inlineStr">
        <is>
          <t>Gate 3: Product &amp; Delivery Readiness</t>
        </is>
      </c>
      <c r="O32" s="19" t="b">
        <v>1</v>
      </c>
      <c r="P32" s="20" t="inlineStr">
        <is>
          <t>clients/tmk-it-solutions/operations/support-sla-matrix.md</t>
        </is>
      </c>
    </row>
    <row r="33">
      <c r="A33" s="11" t="inlineStr">
        <is>
          <t>FLR-OPS-003</t>
        </is>
      </c>
      <c r="B33" s="20" t="inlineStr">
        <is>
          <t>Franchise Operations &amp; SOPs</t>
        </is>
      </c>
      <c r="C33" s="6" t="inlineStr">
        <is>
          <t>Franchise Unit Physical Onboarding Journey &amp; Milestones</t>
        </is>
      </c>
      <c r="D33" s="20" t="inlineStr">
        <is>
          <t>Document sequential 30-day onboarding journey from contract signing to office launch and commercial go-live.</t>
        </is>
      </c>
      <c r="E33" s="11" t="inlineStr">
        <is>
          <t>High</t>
        </is>
      </c>
      <c r="F33" s="20" t="inlineStr">
        <is>
          <t>Analyst 1</t>
        </is>
      </c>
      <c r="G33" s="21" t="inlineStr">
        <is>
          <t>Document Approved</t>
        </is>
      </c>
      <c r="H33" s="20" t="inlineStr">
        <is>
          <t>Franchise operations</t>
        </is>
      </c>
      <c r="I33" s="20" t="inlineStr">
        <is>
          <t>Franchise Operations Lead</t>
        </is>
      </c>
      <c r="J33" s="20" t="inlineStr">
        <is>
          <t>Franchise Operations Lead</t>
        </is>
      </c>
      <c r="K33" s="11" t="inlineStr">
        <is>
          <t>2026-10-26</t>
        </is>
      </c>
      <c r="L33" s="19">
        <f>IF(AND(K33&lt;TODAY(), G33&lt;&gt;"Document Approved", G33&lt;&gt;"Process Verified"), "OVERDUE", "On Track")</f>
        <v/>
      </c>
      <c r="M33" s="11" t="inlineStr">
        <is>
          <t>FLR-OPS-001</t>
        </is>
      </c>
      <c r="N33" s="20" t="inlineStr">
        <is>
          <t>Gate 5: Pilot Launch Readiness</t>
        </is>
      </c>
      <c r="O33" s="11" t="b">
        <v>0</v>
      </c>
      <c r="P33" s="20" t="inlineStr">
        <is>
          <t>clients/tmk-it-solutions/franchise-model/onboarding-journey.md</t>
        </is>
      </c>
    </row>
    <row r="34">
      <c r="A34" s="11" t="inlineStr">
        <is>
          <t>FLR-OPS-004</t>
        </is>
      </c>
      <c r="B34" s="20" t="inlineStr">
        <is>
          <t>Franchise Operations &amp; SOPs</t>
        </is>
      </c>
      <c r="C34" s="6" t="inlineStr">
        <is>
          <t>Client Onboarding &amp; Data Migration Protocol</t>
        </is>
      </c>
      <c r="D34" s="20" t="inlineStr">
        <is>
          <t>Standardize standard operating procedure for migrating customer legacy data (Tally XML, Excel sheets) into TMK Cloud ERP.</t>
        </is>
      </c>
      <c r="E34" s="11" t="inlineStr">
        <is>
          <t>Medium</t>
        </is>
      </c>
      <c r="F34" s="20" t="inlineStr">
        <is>
          <t>Franchise Operations Lead</t>
        </is>
      </c>
      <c r="G34" s="14" t="inlineStr">
        <is>
          <t>In Progress</t>
        </is>
      </c>
      <c r="H34" s="20" t="inlineStr">
        <is>
          <t>Franchise operations</t>
        </is>
      </c>
      <c r="I34" s="20" t="inlineStr">
        <is>
          <t>Lead Software Architect</t>
        </is>
      </c>
      <c r="J34" s="20" t="inlineStr">
        <is>
          <t>Lead Software Architect</t>
        </is>
      </c>
      <c r="K34" s="11" t="inlineStr">
        <is>
          <t>2026-12-15</t>
        </is>
      </c>
      <c r="L34" s="19">
        <f>IF(AND(K34&lt;TODAY(), G34&lt;&gt;"Document Approved", G34&lt;&gt;"Process Verified"), "OVERDUE", "On Track")</f>
        <v/>
      </c>
      <c r="M34" s="11" t="inlineStr">
        <is>
          <t>FLR-PRD-001</t>
        </is>
      </c>
      <c r="N34" s="20" t="inlineStr">
        <is>
          <t>Gate 5: Pilot Launch Readiness</t>
        </is>
      </c>
      <c r="O34" s="11" t="b">
        <v>0</v>
      </c>
      <c r="P34" s="20" t="inlineStr">
        <is>
          <t>clients/tmk-it-solutions/operations/franchise-operations-handbook.md</t>
        </is>
      </c>
    </row>
    <row r="35">
      <c r="A35" s="11" t="inlineStr">
        <is>
          <t>FLR-OPS-005</t>
        </is>
      </c>
      <c r="B35" s="20" t="inlineStr">
        <is>
          <t>Franchise Operations &amp; SOPs</t>
        </is>
      </c>
      <c r="C35" s="6" t="inlineStr">
        <is>
          <t>Franchise Risk Register &amp; Mitigation Playbooks</t>
        </is>
      </c>
      <c r="D35" s="20" t="inlineStr">
        <is>
          <t>Maintain exhaustive 5x5 risk scoring matrix covering partner default, regulatory change, and competition risks.</t>
        </is>
      </c>
      <c r="E35" s="11" t="inlineStr">
        <is>
          <t>High</t>
        </is>
      </c>
      <c r="F35" s="20" t="inlineStr">
        <is>
          <t>Analyst 2</t>
        </is>
      </c>
      <c r="G35" s="21" t="inlineStr">
        <is>
          <t>Document Approved</t>
        </is>
      </c>
      <c r="H35" s="20" t="inlineStr">
        <is>
          <t>Management approval</t>
        </is>
      </c>
      <c r="I35" s="20" t="inlineStr">
        <is>
          <t>Managing Partner</t>
        </is>
      </c>
      <c r="J35" s="20" t="inlineStr">
        <is>
          <t>Managing Partner</t>
        </is>
      </c>
      <c r="K35" s="11" t="inlineStr">
        <is>
          <t>2026-10-26</t>
        </is>
      </c>
      <c r="L35" s="19">
        <f>IF(AND(K35&lt;TODAY(), G35&lt;&gt;"Document Approved", G35&lt;&gt;"Process Verified"), "OVERDUE", "On Track")</f>
        <v/>
      </c>
      <c r="M35" s="11" t="inlineStr"/>
      <c r="N35" s="20" t="inlineStr">
        <is>
          <t>Gate 5: Pilot Launch Readiness</t>
        </is>
      </c>
      <c r="O35" s="11" t="b">
        <v>0</v>
      </c>
      <c r="P35" s="20" t="inlineStr">
        <is>
          <t>clients/tmk-it-solutions/risks/risk-register.md</t>
        </is>
      </c>
    </row>
    <row r="36">
      <c r="A36" s="11" t="inlineStr">
        <is>
          <t>FLR-TEC-001</t>
        </is>
      </c>
      <c r="B36" s="20" t="inlineStr">
        <is>
          <t>Franchise Management Technology</t>
        </is>
      </c>
      <c r="C36" s="6" t="inlineStr">
        <is>
          <t>Central Partner Portal Architecture &amp; Specification</t>
        </is>
      </c>
      <c r="D36" s="20" t="inlineStr">
        <is>
          <t>Specify multi-tenant partner dashboard architecture for commission tracking, lead registration, and support ticketing.</t>
        </is>
      </c>
      <c r="E36" s="11" t="inlineStr">
        <is>
          <t>High</t>
        </is>
      </c>
      <c r="F36" s="20" t="inlineStr">
        <is>
          <t>Lead Software Architect</t>
        </is>
      </c>
      <c r="G36" s="14" t="inlineStr">
        <is>
          <t>Document Created</t>
        </is>
      </c>
      <c r="H36" s="20" t="inlineStr">
        <is>
          <t>Technology implementation</t>
        </is>
      </c>
      <c r="I36" s="20" t="inlineStr">
        <is>
          <t>Managing Partner</t>
        </is>
      </c>
      <c r="J36" s="20" t="inlineStr">
        <is>
          <t>Lead Software Architect</t>
        </is>
      </c>
      <c r="K36" s="11" t="inlineStr">
        <is>
          <t>2026-10-26</t>
        </is>
      </c>
      <c r="L36" s="19">
        <f>IF(AND(K36&lt;TODAY(), G36&lt;&gt;"Document Approved", G36&lt;&gt;"Process Verified"), "OVERDUE", "On Track")</f>
        <v/>
      </c>
      <c r="M36" s="11" t="inlineStr"/>
      <c r="N36" s="20" t="inlineStr">
        <is>
          <t>Gate 5: Pilot Launch Readiness</t>
        </is>
      </c>
      <c r="O36" s="11" t="b">
        <v>0</v>
      </c>
      <c r="P36" s="20" t="inlineStr">
        <is>
          <t>platform/architecture/system-architecture.md</t>
        </is>
      </c>
    </row>
    <row r="37">
      <c r="A37" s="11" t="inlineStr">
        <is>
          <t>FLR-TEC-002</t>
        </is>
      </c>
      <c r="B37" s="20" t="inlineStr">
        <is>
          <t>Franchise Management Technology</t>
        </is>
      </c>
      <c r="C37" s="6" t="inlineStr">
        <is>
          <t>CRM Lead Protection &amp; 90-Day Deal Registration Engine</t>
        </is>
      </c>
      <c r="D37" s="20" t="inlineStr">
        <is>
          <t>Implement automated 90-day prospect locking algorithm in CRM to prevent partner encroachment and channel conflict.</t>
        </is>
      </c>
      <c r="E37" s="11" t="inlineStr">
        <is>
          <t>Critical</t>
        </is>
      </c>
      <c r="F37" s="20" t="inlineStr">
        <is>
          <t>Lead Software Architect</t>
        </is>
      </c>
      <c r="G37" s="14" t="inlineStr">
        <is>
          <t>In Progress</t>
        </is>
      </c>
      <c r="H37" s="20" t="inlineStr">
        <is>
          <t>Technology implementation</t>
        </is>
      </c>
      <c r="I37" s="20" t="inlineStr">
        <is>
          <t>Franchise Operations Lead</t>
        </is>
      </c>
      <c r="J37" s="20" t="inlineStr">
        <is>
          <t>Franchise Operations Lead</t>
        </is>
      </c>
      <c r="K37" s="11" t="inlineStr">
        <is>
          <t>2026-12-20</t>
        </is>
      </c>
      <c r="L37" s="19">
        <f>IF(AND(K37&lt;TODAY(), G37&lt;&gt;"Document Approved", G37&lt;&gt;"Process Verified"), "OVERDUE", "On Track")</f>
        <v/>
      </c>
      <c r="M37" s="11" t="inlineStr">
        <is>
          <t>FLR-TEC-001, FLR-LGL-003</t>
        </is>
      </c>
      <c r="N37" s="20" t="inlineStr">
        <is>
          <t>Gate 5: Pilot Launch Readiness</t>
        </is>
      </c>
      <c r="O37" s="19" t="b">
        <v>1</v>
      </c>
      <c r="P37" s="20" t="inlineStr">
        <is>
          <t>clients/tmk-it-solutions/legal-drafts/territory-policy-draft.md</t>
        </is>
      </c>
    </row>
    <row r="38">
      <c r="A38" s="11" t="inlineStr">
        <is>
          <t>FLR-TEC-003</t>
        </is>
      </c>
      <c r="B38" s="20" t="inlineStr">
        <is>
          <t>Franchise Management Technology</t>
        </is>
      </c>
      <c r="C38" s="6" t="inlineStr">
        <is>
          <t>Automated Software License Key Provisioning Workflow</t>
        </is>
      </c>
      <c r="D38" s="20" t="inlineStr">
        <is>
          <t>Automate cloud deployment and cryptographic license key generation upon invoice settlement.</t>
        </is>
      </c>
      <c r="E38" s="11" t="inlineStr">
        <is>
          <t>High</t>
        </is>
      </c>
      <c r="F38" s="20" t="inlineStr">
        <is>
          <t>Lead Software Architect</t>
        </is>
      </c>
      <c r="G38" s="14" t="inlineStr">
        <is>
          <t>In Progress</t>
        </is>
      </c>
      <c r="H38" s="20" t="inlineStr">
        <is>
          <t>Product engineering</t>
        </is>
      </c>
      <c r="I38" s="20" t="inlineStr">
        <is>
          <t>Finance Director / CA</t>
        </is>
      </c>
      <c r="J38" s="20" t="inlineStr">
        <is>
          <t>Lead Software Architect</t>
        </is>
      </c>
      <c r="K38" s="11" t="inlineStr">
        <is>
          <t>2027-01-05</t>
        </is>
      </c>
      <c r="L38" s="19">
        <f>IF(AND(K38&lt;TODAY(), G38&lt;&gt;"Document Approved", G38&lt;&gt;"Process Verified"), "OVERDUE", "On Track")</f>
        <v/>
      </c>
      <c r="M38" s="11" t="inlineStr">
        <is>
          <t>FLR-TEC-001</t>
        </is>
      </c>
      <c r="N38" s="20" t="inlineStr">
        <is>
          <t>Gate 5: Pilot Launch Readiness</t>
        </is>
      </c>
      <c r="O38" s="11" t="b">
        <v>0</v>
      </c>
      <c r="P38" s="20" t="inlineStr">
        <is>
          <t>clients/tmk-it-solutions/products/products-catalog.json</t>
        </is>
      </c>
    </row>
    <row r="39">
      <c r="A39" s="11" t="inlineStr">
        <is>
          <t>FLR-TEC-004</t>
        </is>
      </c>
      <c r="B39" s="20" t="inlineStr">
        <is>
          <t>Franchise Management Technology</t>
        </is>
      </c>
      <c r="C39" s="6" t="inlineStr">
        <is>
          <t>Cloud Infrastructure 99.9% High-Availability Deployment</t>
        </is>
      </c>
      <c r="D39" s="20" t="inlineStr">
        <is>
          <t>Deploy resilient containerized Kubernetes / VPS infrastructure with automated daily snapshots and DDoS protection.</t>
        </is>
      </c>
      <c r="E39" s="11" t="inlineStr">
        <is>
          <t>High</t>
        </is>
      </c>
      <c r="F39" s="20" t="inlineStr">
        <is>
          <t>Lead Software Architect</t>
        </is>
      </c>
      <c r="G39" s="21" t="inlineStr">
        <is>
          <t>Process Implemented</t>
        </is>
      </c>
      <c r="H39" s="20" t="inlineStr">
        <is>
          <t>Technology implementation</t>
        </is>
      </c>
      <c r="I39" s="20" t="inlineStr">
        <is>
          <t>Managing Partner</t>
        </is>
      </c>
      <c r="J39" s="20" t="inlineStr">
        <is>
          <t>Lead Software Architect</t>
        </is>
      </c>
      <c r="K39" s="11" t="inlineStr">
        <is>
          <t>2026-10-26</t>
        </is>
      </c>
      <c r="L39" s="19">
        <f>IF(AND(K39&lt;TODAY(), G39&lt;&gt;"Document Approved", G39&lt;&gt;"Process Verified"), "OVERDUE", "On Track")</f>
        <v/>
      </c>
      <c r="M39" s="11" t="inlineStr"/>
      <c r="N39" s="20" t="inlineStr">
        <is>
          <t>Gate 3: Product &amp; Delivery Readiness</t>
        </is>
      </c>
      <c r="O39" s="11" t="b">
        <v>0</v>
      </c>
      <c r="P39" s="20" t="inlineStr">
        <is>
          <t>clients/tmk-it-solutions/operations/support-sla-matrix.md</t>
        </is>
      </c>
    </row>
    <row r="40">
      <c r="A40" s="11" t="inlineStr">
        <is>
          <t>FLR-TEC-005</t>
        </is>
      </c>
      <c r="B40" s="20" t="inlineStr">
        <is>
          <t>Franchise Management Technology</t>
        </is>
      </c>
      <c r="C40" s="6" t="inlineStr">
        <is>
          <t>Role-Based Access Control (RBAC) &amp; Tenant Security Audit</t>
        </is>
      </c>
      <c r="D40" s="20" t="inlineStr">
        <is>
          <t>Enforce strict JWT / OAuth2 authentication ensuring franchisees access only their own territory accounts.</t>
        </is>
      </c>
      <c r="E40" s="11" t="inlineStr">
        <is>
          <t>Critical</t>
        </is>
      </c>
      <c r="F40" s="20" t="inlineStr">
        <is>
          <t>Lead Software Architect</t>
        </is>
      </c>
      <c r="G40" s="21" t="inlineStr">
        <is>
          <t>Process Verified</t>
        </is>
      </c>
      <c r="H40" s="20" t="inlineStr">
        <is>
          <t>Technology implementation</t>
        </is>
      </c>
      <c r="I40" s="20" t="inlineStr">
        <is>
          <t>Managing Partner</t>
        </is>
      </c>
      <c r="J40" s="20" t="inlineStr">
        <is>
          <t>Lead Software Architect</t>
        </is>
      </c>
      <c r="K40" s="11" t="inlineStr">
        <is>
          <t>2026-10-26</t>
        </is>
      </c>
      <c r="L40" s="19">
        <f>IF(AND(K40&lt;TODAY(), G40&lt;&gt;"Document Approved", G40&lt;&gt;"Process Verified"), "OVERDUE", "On Track")</f>
        <v/>
      </c>
      <c r="M40" s="11" t="inlineStr">
        <is>
          <t>FLR-TEC-001</t>
        </is>
      </c>
      <c r="N40" s="20" t="inlineStr">
        <is>
          <t>Gate 5: Pilot Launch Readiness</t>
        </is>
      </c>
      <c r="O40" s="19" t="b">
        <v>1</v>
      </c>
      <c r="P40" s="20" t="inlineStr">
        <is>
          <t>platform/security/security-policy.md</t>
        </is>
      </c>
    </row>
    <row r="41">
      <c r="A41" s="11" t="inlineStr">
        <is>
          <t>FLR-MKT-001</t>
        </is>
      </c>
      <c r="B41" s="20" t="inlineStr">
        <is>
          <t>Franchise Recruitment &amp; Marketing</t>
        </is>
      </c>
      <c r="C41" s="6" t="inlineStr">
        <is>
          <t>Franchise Opportunity Pitch Deck &amp; PPTX Presentation</t>
        </is>
      </c>
      <c r="D41" s="20" t="inlineStr">
        <is>
          <t>Build high-impact 10-slide investor presentation detailing business model, unit economics, 6 products, and revenue potential.</t>
        </is>
      </c>
      <c r="E41" s="11" t="inlineStr">
        <is>
          <t>Critical</t>
        </is>
      </c>
      <c r="F41" s="20" t="inlineStr">
        <is>
          <t>Analyst 1</t>
        </is>
      </c>
      <c r="G41" s="21" t="inlineStr">
        <is>
          <t>Document Approved</t>
        </is>
      </c>
      <c r="H41" s="20" t="inlineStr">
        <is>
          <t>Documentation and presentation</t>
        </is>
      </c>
      <c r="I41" s="20" t="inlineStr">
        <is>
          <t>Managing Partner</t>
        </is>
      </c>
      <c r="J41" s="20" t="inlineStr">
        <is>
          <t>Managing Partner</t>
        </is>
      </c>
      <c r="K41" s="11" t="inlineStr">
        <is>
          <t>2026-10-26</t>
        </is>
      </c>
      <c r="L41" s="19">
        <f>IF(AND(K41&lt;TODAY(), G41&lt;&gt;"Document Approved", G41&lt;&gt;"Process Verified"), "OVERDUE", "On Track")</f>
        <v/>
      </c>
      <c r="M41" s="11" t="inlineStr">
        <is>
          <t>FLR-BMS-001, FLR-FIN-003</t>
        </is>
      </c>
      <c r="N41" s="20" t="inlineStr">
        <is>
          <t>Gate 4: Franchise Recruitment Readiness</t>
        </is>
      </c>
      <c r="O41" s="19" t="b">
        <v>1</v>
      </c>
      <c r="P41" s="20" t="inlineStr">
        <is>
          <t>clients/tmk-it-solutions/presentations/franchise-opportunity-pitch-deck.md, clients/tmk-it-solutions/presentations/franchise-opportunity-pitch-deck.pptx</t>
        </is>
      </c>
    </row>
    <row r="42">
      <c r="A42" s="11" t="inlineStr">
        <is>
          <t>FLR-MKT-002</t>
        </is>
      </c>
      <c r="B42" s="20" t="inlineStr">
        <is>
          <t>Franchise Recruitment &amp; Marketing</t>
        </is>
      </c>
      <c r="C42" s="6" t="inlineStr">
        <is>
          <t>Franchise Recruitment Commercial Brochure (4-Page)</t>
        </is>
      </c>
      <c r="D42" s="20" t="inlineStr">
        <is>
          <t>Design print-ready marketing brochure highlighting software demand, promotional fee tier, and partner profile.</t>
        </is>
      </c>
      <c r="E42" s="11" t="inlineStr">
        <is>
          <t>High</t>
        </is>
      </c>
      <c r="F42" s="20" t="inlineStr">
        <is>
          <t>Analyst 1</t>
        </is>
      </c>
      <c r="G42" s="21" t="inlineStr">
        <is>
          <t>Document Approved</t>
        </is>
      </c>
      <c r="H42" s="20" t="inlineStr">
        <is>
          <t>Documentation and presentation</t>
        </is>
      </c>
      <c r="I42" s="20" t="inlineStr">
        <is>
          <t>Analyst 2</t>
        </is>
      </c>
      <c r="J42" s="20" t="inlineStr">
        <is>
          <t>Practice Lead</t>
        </is>
      </c>
      <c r="K42" s="11" t="inlineStr">
        <is>
          <t>2026-10-26</t>
        </is>
      </c>
      <c r="L42" s="19">
        <f>IF(AND(K42&lt;TODAY(), G42&lt;&gt;"Document Approved", G42&lt;&gt;"Process Verified"), "OVERDUE", "On Track")</f>
        <v/>
      </c>
      <c r="M42" s="11" t="inlineStr">
        <is>
          <t>FLR-MKT-001</t>
        </is>
      </c>
      <c r="N42" s="20" t="inlineStr">
        <is>
          <t>Gate 4: Franchise Recruitment Readiness</t>
        </is>
      </c>
      <c r="O42" s="11" t="b">
        <v>0</v>
      </c>
      <c r="P42" s="20" t="inlineStr">
        <is>
          <t>clients/tmk-it-solutions/sales-marketing/franchise-brochure.md</t>
        </is>
      </c>
    </row>
    <row r="43">
      <c r="A43" s="11" t="inlineStr">
        <is>
          <t>FLR-MKT-003</t>
        </is>
      </c>
      <c r="B43" s="20" t="inlineStr">
        <is>
          <t>Franchise Recruitment &amp; Marketing</t>
        </is>
      </c>
      <c r="C43" s="6" t="inlineStr">
        <is>
          <t>Institutional Franchise Investment Prospectus</t>
        </is>
      </c>
      <c r="D43" s="20" t="inlineStr">
        <is>
          <t>Author comprehensive investment document detailing corporate history, commercial contract terms, unit economics, and risk factors.</t>
        </is>
      </c>
      <c r="E43" s="11" t="inlineStr">
        <is>
          <t>Critical</t>
        </is>
      </c>
      <c r="F43" s="20" t="inlineStr">
        <is>
          <t>Analyst 1</t>
        </is>
      </c>
      <c r="G43" s="21" t="inlineStr">
        <is>
          <t>Document Approved</t>
        </is>
      </c>
      <c r="H43" s="20" t="inlineStr">
        <is>
          <t>Documentation and presentation</t>
        </is>
      </c>
      <c r="I43" s="20" t="inlineStr">
        <is>
          <t>Legal Counsel</t>
        </is>
      </c>
      <c r="J43" s="20" t="inlineStr">
        <is>
          <t>Managing Partner</t>
        </is>
      </c>
      <c r="K43" s="11" t="inlineStr">
        <is>
          <t>2026-10-26</t>
        </is>
      </c>
      <c r="L43" s="19">
        <f>IF(AND(K43&lt;TODAY(), G43&lt;&gt;"Document Approved", G43&lt;&gt;"Process Verified"), "OVERDUE", "On Track")</f>
        <v/>
      </c>
      <c r="M43" s="11" t="inlineStr">
        <is>
          <t>FLR-BMS-001, FLR-FIN-002</t>
        </is>
      </c>
      <c r="N43" s="20" t="inlineStr">
        <is>
          <t>Gate 4: Franchise Recruitment Readiness</t>
        </is>
      </c>
      <c r="O43" s="19" t="b">
        <v>1</v>
      </c>
      <c r="P43" s="20" t="inlineStr">
        <is>
          <t>clients/tmk-it-solutions/sales-marketing/franchise-prospectus.md</t>
        </is>
      </c>
    </row>
    <row r="44">
      <c r="A44" s="11" t="inlineStr">
        <is>
          <t>FLR-MKT-004</t>
        </is>
      </c>
      <c r="B44" s="20" t="inlineStr">
        <is>
          <t>Franchise Recruitment &amp; Marketing</t>
        </is>
      </c>
      <c r="C44" s="6" t="inlineStr">
        <is>
          <t>Candidate Investor FAQ with Non-Guaranteed Return Disclaimers</t>
        </is>
      </c>
      <c r="D44" s="20" t="inlineStr">
        <is>
          <t>Provide answers to 20+ common partner objections regarding CapEx, sales cycles, support escalations, and territory boundaries.</t>
        </is>
      </c>
      <c r="E44" s="11" t="inlineStr">
        <is>
          <t>High</t>
        </is>
      </c>
      <c r="F44" s="20" t="inlineStr">
        <is>
          <t>Analyst 1</t>
        </is>
      </c>
      <c r="G44" s="21" t="inlineStr">
        <is>
          <t>Document Approved</t>
        </is>
      </c>
      <c r="H44" s="20" t="inlineStr">
        <is>
          <t>Documentation and presentation</t>
        </is>
      </c>
      <c r="I44" s="20" t="inlineStr">
        <is>
          <t>Legal Counsel</t>
        </is>
      </c>
      <c r="J44" s="20" t="inlineStr">
        <is>
          <t>Practice Lead</t>
        </is>
      </c>
      <c r="K44" s="11" t="inlineStr">
        <is>
          <t>2026-10-26</t>
        </is>
      </c>
      <c r="L44" s="19">
        <f>IF(AND(K44&lt;TODAY(), G44&lt;&gt;"Document Approved", G44&lt;&gt;"Process Verified"), "OVERDUE", "On Track")</f>
        <v/>
      </c>
      <c r="M44" s="11" t="inlineStr">
        <is>
          <t>FLR-MKT-003</t>
        </is>
      </c>
      <c r="N44" s="20" t="inlineStr">
        <is>
          <t>Gate 4: Franchise Recruitment Readiness</t>
        </is>
      </c>
      <c r="O44" s="11" t="b">
        <v>0</v>
      </c>
      <c r="P44" s="20" t="inlineStr">
        <is>
          <t>clients/tmk-it-solutions/sales-marketing/franchise-faq.md</t>
        </is>
      </c>
    </row>
    <row r="45">
      <c r="A45" s="11" t="inlineStr">
        <is>
          <t>FLR-MKT-005</t>
        </is>
      </c>
      <c r="B45" s="20" t="inlineStr">
        <is>
          <t>Franchise Recruitment &amp; Marketing</t>
        </is>
      </c>
      <c r="C45" s="6" t="inlineStr">
        <is>
          <t>FOFO Architecture Infographic &amp; Revenue Model Visualizer</t>
        </is>
      </c>
      <c r="D45" s="20" t="inlineStr">
        <is>
          <t>Create graphical specifications depicting money flows, 18% GST deduction, and 40:60 revenue splits.</t>
        </is>
      </c>
      <c r="E45" s="11" t="inlineStr">
        <is>
          <t>Medium</t>
        </is>
      </c>
      <c r="F45" s="20" t="inlineStr">
        <is>
          <t>Analyst 1</t>
        </is>
      </c>
      <c r="G45" s="21" t="inlineStr">
        <is>
          <t>Document Approved</t>
        </is>
      </c>
      <c r="H45" s="20" t="inlineStr">
        <is>
          <t>Documentation and presentation</t>
        </is>
      </c>
      <c r="I45" s="20" t="inlineStr">
        <is>
          <t>Analyst 2</t>
        </is>
      </c>
      <c r="J45" s="20" t="inlineStr">
        <is>
          <t>Practice Lead</t>
        </is>
      </c>
      <c r="K45" s="11" t="inlineStr">
        <is>
          <t>2026-10-26</t>
        </is>
      </c>
      <c r="L45" s="19">
        <f>IF(AND(K45&lt;TODAY(), G45&lt;&gt;"Document Approved", G45&lt;&gt;"Process Verified"), "OVERDUE", "On Track")</f>
        <v/>
      </c>
      <c r="M45" s="11" t="inlineStr">
        <is>
          <t>FLR-BMS-003</t>
        </is>
      </c>
      <c r="N45" s="20" t="inlineStr">
        <is>
          <t>Gate 4: Franchise Recruitment Readiness</t>
        </is>
      </c>
      <c r="O45" s="11" t="b">
        <v>0</v>
      </c>
      <c r="P45" s="20" t="inlineStr">
        <is>
          <t>clients/tmk-it-solutions/sales-marketing/fofo-infographic-spec.md, clients/tmk-it-solutions/sales-marketing/revenue-sharing-infographic-spec.md</t>
        </is>
      </c>
    </row>
    <row r="46">
      <c r="A46" s="11" t="inlineStr">
        <is>
          <t>FLR-MKT-006</t>
        </is>
      </c>
      <c r="B46" s="20" t="inlineStr">
        <is>
          <t>Franchise Recruitment &amp; Marketing</t>
        </is>
      </c>
      <c r="C46" s="6" t="inlineStr">
        <is>
          <t>Digital Lead Capture Funnel &amp; Prospect Evaluation Rubric</t>
        </is>
      </c>
      <c r="D46" s="20" t="inlineStr">
        <is>
          <t>Establish landing page copy, qualification scorecard, and candidate screening criteria for recruitment marketing.</t>
        </is>
      </c>
      <c r="E46" s="11" t="inlineStr">
        <is>
          <t>High</t>
        </is>
      </c>
      <c r="F46" s="20" t="inlineStr">
        <is>
          <t>Franchise Operations Lead</t>
        </is>
      </c>
      <c r="G46" s="14" t="inlineStr">
        <is>
          <t>In Progress</t>
        </is>
      </c>
      <c r="H46" s="20" t="inlineStr">
        <is>
          <t>Franchise operations</t>
        </is>
      </c>
      <c r="I46" s="20" t="inlineStr">
        <is>
          <t>Managing Partner</t>
        </is>
      </c>
      <c r="J46" s="20" t="inlineStr">
        <is>
          <t>Franchise Operations Lead</t>
        </is>
      </c>
      <c r="K46" s="11" t="inlineStr">
        <is>
          <t>2026-12-10</t>
        </is>
      </c>
      <c r="L46" s="19">
        <f>IF(AND(K46&lt;TODAY(), G46&lt;&gt;"Document Approved", G46&lt;&gt;"Process Verified"), "OVERDUE", "On Track")</f>
        <v/>
      </c>
      <c r="M46" s="11" t="inlineStr">
        <is>
          <t>FLR-MKT-002</t>
        </is>
      </c>
      <c r="N46" s="20" t="inlineStr">
        <is>
          <t>Gate 4: Franchise Recruitment Readiness</t>
        </is>
      </c>
      <c r="O46" s="11" t="b">
        <v>0</v>
      </c>
      <c r="P46" s="20" t="inlineStr">
        <is>
          <t>clients/tmk-it-solutions/sales-marketing/franchise-application-form.md</t>
        </is>
      </c>
    </row>
    <row r="47">
      <c r="A47" s="11" t="inlineStr">
        <is>
          <t>FLR-TRN-001</t>
        </is>
      </c>
      <c r="B47" s="20" t="inlineStr">
        <is>
          <t>Training &amp; Certification</t>
        </is>
      </c>
      <c r="C47" s="6" t="inlineStr">
        <is>
          <t>10-Day Franchisee Onboarding Training Curriculum</t>
        </is>
      </c>
      <c r="D47" s="20" t="inlineStr">
        <is>
          <t>Establish comprehensive 10-day syllabus covering products, sales pitching, office setup, and support escalations.</t>
        </is>
      </c>
      <c r="E47" s="11" t="inlineStr">
        <is>
          <t>Critical</t>
        </is>
      </c>
      <c r="F47" s="20" t="inlineStr">
        <is>
          <t>Franchise Operations Lead</t>
        </is>
      </c>
      <c r="G47" s="21" t="inlineStr">
        <is>
          <t>Document Approved</t>
        </is>
      </c>
      <c r="H47" s="20" t="inlineStr">
        <is>
          <t>Franchise operations</t>
        </is>
      </c>
      <c r="I47" s="20" t="inlineStr">
        <is>
          <t>Analyst 1</t>
        </is>
      </c>
      <c r="J47" s="20" t="inlineStr">
        <is>
          <t>Franchise Operations Lead</t>
        </is>
      </c>
      <c r="K47" s="11" t="inlineStr">
        <is>
          <t>2026-10-26</t>
        </is>
      </c>
      <c r="L47" s="19">
        <f>IF(AND(K47&lt;TODAY(), G47&lt;&gt;"Document Approved", G47&lt;&gt;"Process Verified"), "OVERDUE", "On Track")</f>
        <v/>
      </c>
      <c r="M47" s="11" t="inlineStr">
        <is>
          <t>FLR-PRD-001, FLR-OPS-001</t>
        </is>
      </c>
      <c r="N47" s="20" t="inlineStr">
        <is>
          <t>Gate 5: Pilot Launch Readiness</t>
        </is>
      </c>
      <c r="O47" s="19" t="b">
        <v>1</v>
      </c>
      <c r="P47" s="20" t="inlineStr">
        <is>
          <t>clients/tmk-it-solutions/operations/franchise-training-curriculum.md</t>
        </is>
      </c>
    </row>
    <row r="48">
      <c r="A48" s="11" t="inlineStr">
        <is>
          <t>FLR-TRN-002</t>
        </is>
      </c>
      <c r="B48" s="20" t="inlineStr">
        <is>
          <t>Training &amp; Certification</t>
        </is>
      </c>
      <c r="C48" s="6" t="inlineStr">
        <is>
          <t>Sales Executive Product Demonstration Scripts &amp; Playbook</t>
        </is>
      </c>
      <c r="D48" s="20" t="inlineStr">
        <is>
          <t>Create 5-step demonstration scripts, objection battlecards, and sales kits for all software offerings.</t>
        </is>
      </c>
      <c r="E48" s="11" t="inlineStr">
        <is>
          <t>High</t>
        </is>
      </c>
      <c r="F48" s="20" t="inlineStr">
        <is>
          <t>Analyst 1</t>
        </is>
      </c>
      <c r="G48" s="14" t="inlineStr">
        <is>
          <t>Document Created</t>
        </is>
      </c>
      <c r="H48" s="20" t="inlineStr">
        <is>
          <t>Documentation and presentation</t>
        </is>
      </c>
      <c r="I48" s="20" t="inlineStr">
        <is>
          <t>Lead Software Architect</t>
        </is>
      </c>
      <c r="J48" s="20" t="inlineStr">
        <is>
          <t>Practice Lead</t>
        </is>
      </c>
      <c r="K48" s="11" t="inlineStr">
        <is>
          <t>2026-10-26</t>
        </is>
      </c>
      <c r="L48" s="19">
        <f>IF(AND(K48&lt;TODAY(), G48&lt;&gt;"Document Approved", G48&lt;&gt;"Process Verified"), "OVERDUE", "On Track")</f>
        <v/>
      </c>
      <c r="M48" s="11" t="inlineStr">
        <is>
          <t>FLR-TRN-001</t>
        </is>
      </c>
      <c r="N48" s="20" t="inlineStr">
        <is>
          <t>Gate 5: Pilot Launch Readiness</t>
        </is>
      </c>
      <c r="O48" s="11" t="b">
        <v>0</v>
      </c>
      <c r="P48" s="20" t="inlineStr">
        <is>
          <t>templates/product-demonstrations/product-demo-guide.template.md</t>
        </is>
      </c>
    </row>
    <row r="49">
      <c r="A49" s="11" t="inlineStr">
        <is>
          <t>FLR-TRN-003</t>
        </is>
      </c>
      <c r="B49" s="20" t="inlineStr">
        <is>
          <t>Training &amp; Certification</t>
        </is>
      </c>
      <c r="C49" s="6" t="inlineStr">
        <is>
          <t>Operations Manual Examination &amp; Passing Rubric</t>
        </is>
      </c>
      <c r="D49" s="20" t="inlineStr">
        <is>
          <t>Design 100-question written examination requiring 80% passing grade on commercial terms, software, and compliance.</t>
        </is>
      </c>
      <c r="E49" s="11" t="inlineStr">
        <is>
          <t>High</t>
        </is>
      </c>
      <c r="F49" s="20" t="inlineStr">
        <is>
          <t>Franchise Operations Lead</t>
        </is>
      </c>
      <c r="G49" s="14" t="inlineStr">
        <is>
          <t>In Progress</t>
        </is>
      </c>
      <c r="H49" s="20" t="inlineStr">
        <is>
          <t>Franchise operations</t>
        </is>
      </c>
      <c r="I49" s="20" t="inlineStr">
        <is>
          <t>Managing Partner</t>
        </is>
      </c>
      <c r="J49" s="20" t="inlineStr">
        <is>
          <t>Franchise Operations Lead</t>
        </is>
      </c>
      <c r="K49" s="11" t="inlineStr">
        <is>
          <t>2026-12-20</t>
        </is>
      </c>
      <c r="L49" s="19">
        <f>IF(AND(K49&lt;TODAY(), G49&lt;&gt;"Document Approved", G49&lt;&gt;"Process Verified"), "OVERDUE", "On Track")</f>
        <v/>
      </c>
      <c r="M49" s="11" t="inlineStr">
        <is>
          <t>FLR-TRN-001</t>
        </is>
      </c>
      <c r="N49" s="20" t="inlineStr">
        <is>
          <t>Gate 5: Pilot Launch Readiness</t>
        </is>
      </c>
      <c r="O49" s="11" t="b">
        <v>0</v>
      </c>
      <c r="P49" s="20" t="inlineStr">
        <is>
          <t>clients/tmk-it-solutions/operations/franchise-training-curriculum.md</t>
        </is>
      </c>
    </row>
    <row r="50">
      <c r="A50" s="11" t="inlineStr">
        <is>
          <t>FLR-TRN-004</t>
        </is>
      </c>
      <c r="B50" s="20" t="inlineStr">
        <is>
          <t>Training &amp; Certification</t>
        </is>
      </c>
      <c r="C50" s="6" t="inlineStr">
        <is>
          <t>Formal Partner Certification Accreditation Package</t>
        </is>
      </c>
      <c r="D50" s="20" t="inlineStr">
        <is>
          <t>Establish formal certificate of accreditation, partner badge, and authorization credentials upon passing training.</t>
        </is>
      </c>
      <c r="E50" s="11" t="inlineStr">
        <is>
          <t>Medium</t>
        </is>
      </c>
      <c r="F50" s="20" t="inlineStr">
        <is>
          <t>Franchise Operations Lead</t>
        </is>
      </c>
      <c r="G50" s="14" t="inlineStr">
        <is>
          <t>In Progress</t>
        </is>
      </c>
      <c r="H50" s="20" t="inlineStr">
        <is>
          <t>Documentation and presentation</t>
        </is>
      </c>
      <c r="I50" s="20" t="inlineStr">
        <is>
          <t>Managing Partner</t>
        </is>
      </c>
      <c r="J50" s="20" t="inlineStr">
        <is>
          <t>Managing Partner</t>
        </is>
      </c>
      <c r="K50" s="11" t="inlineStr">
        <is>
          <t>2027-01-10</t>
        </is>
      </c>
      <c r="L50" s="19">
        <f>IF(AND(K50&lt;TODAY(), G50&lt;&gt;"Document Approved", G50&lt;&gt;"Process Verified"), "OVERDUE", "On Track")</f>
        <v/>
      </c>
      <c r="M50" s="11" t="inlineStr">
        <is>
          <t>FLR-TRN-003</t>
        </is>
      </c>
      <c r="N50" s="20" t="inlineStr">
        <is>
          <t>Gate 5: Pilot Launch Readiness</t>
        </is>
      </c>
      <c r="O50" s="11" t="b">
        <v>0</v>
      </c>
      <c r="P50" s="20" t="inlineStr">
        <is>
          <t>templates/training/franchisee-training-curriculum.template.md</t>
        </is>
      </c>
    </row>
    <row r="51">
      <c r="A51" s="11" t="inlineStr">
        <is>
          <t>FLR-DEL-001</t>
        </is>
      </c>
      <c r="B51" s="20" t="inlineStr">
        <is>
          <t>Central Delivery &amp; Customer Support</t>
        </is>
      </c>
      <c r="C51" s="6" t="inlineStr">
        <is>
          <t>Central Engineering Deployment Capacity Verification</t>
        </is>
      </c>
      <c r="D51" s="20" t="inlineStr">
        <is>
          <t>Audit central engineering staff capacity to ensure team can deliver 15+ concurrent client deployments monthly.</t>
        </is>
      </c>
      <c r="E51" s="11" t="inlineStr">
        <is>
          <t>Critical</t>
        </is>
      </c>
      <c r="F51" s="20" t="inlineStr">
        <is>
          <t>Lead Software Architect</t>
        </is>
      </c>
      <c r="G51" s="21" t="inlineStr">
        <is>
          <t>Process Implemented</t>
        </is>
      </c>
      <c r="H51" s="20" t="inlineStr">
        <is>
          <t>Product engineering</t>
        </is>
      </c>
      <c r="I51" s="20" t="inlineStr">
        <is>
          <t>Managing Partner</t>
        </is>
      </c>
      <c r="J51" s="20" t="inlineStr">
        <is>
          <t>Lead Software Architect</t>
        </is>
      </c>
      <c r="K51" s="11" t="inlineStr">
        <is>
          <t>2026-10-26</t>
        </is>
      </c>
      <c r="L51" s="19">
        <f>IF(AND(K51&lt;TODAY(), G51&lt;&gt;"Document Approved", G51&lt;&gt;"Process Verified"), "OVERDUE", "On Track")</f>
        <v/>
      </c>
      <c r="M51" s="11" t="inlineStr">
        <is>
          <t>FLR-OPS-002</t>
        </is>
      </c>
      <c r="N51" s="20" t="inlineStr">
        <is>
          <t>Gate 3: Product &amp; Delivery Readiness</t>
        </is>
      </c>
      <c r="O51" s="19" t="b">
        <v>1</v>
      </c>
      <c r="P51" s="20" t="inlineStr">
        <is>
          <t>clients/tmk-it-solutions/operations/support-sla-matrix.md</t>
        </is>
      </c>
    </row>
    <row r="52">
      <c r="A52" s="11" t="inlineStr">
        <is>
          <t>FLR-DEL-002</t>
        </is>
      </c>
      <c r="B52" s="20" t="inlineStr">
        <is>
          <t>Central Delivery &amp; Customer Support</t>
        </is>
      </c>
      <c r="C52" s="6" t="inlineStr">
        <is>
          <t>Cloud Server Infrastructure Monitoring &amp; Disaster Recovery</t>
        </is>
      </c>
      <c r="D52" s="20" t="inlineStr">
        <is>
          <t>Implement automated database backup, regional replication, and 15-minute RTO disaster recovery protocol.</t>
        </is>
      </c>
      <c r="E52" s="11" t="inlineStr">
        <is>
          <t>High</t>
        </is>
      </c>
      <c r="F52" s="20" t="inlineStr">
        <is>
          <t>Lead Software Architect</t>
        </is>
      </c>
      <c r="G52" s="21" t="inlineStr">
        <is>
          <t>Process Implemented</t>
        </is>
      </c>
      <c r="H52" s="20" t="inlineStr">
        <is>
          <t>Technology implementation</t>
        </is>
      </c>
      <c r="I52" s="20" t="inlineStr">
        <is>
          <t>Managing Partner</t>
        </is>
      </c>
      <c r="J52" s="20" t="inlineStr">
        <is>
          <t>Lead Software Architect</t>
        </is>
      </c>
      <c r="K52" s="11" t="inlineStr">
        <is>
          <t>2026-10-26</t>
        </is>
      </c>
      <c r="L52" s="19">
        <f>IF(AND(K52&lt;TODAY(), G52&lt;&gt;"Document Approved", G52&lt;&gt;"Process Verified"), "OVERDUE", "On Track")</f>
        <v/>
      </c>
      <c r="M52" s="11" t="inlineStr"/>
      <c r="N52" s="20" t="inlineStr">
        <is>
          <t>Gate 3: Product &amp; Delivery Readiness</t>
        </is>
      </c>
      <c r="O52" s="11" t="b">
        <v>0</v>
      </c>
      <c r="P52" s="20" t="inlineStr">
        <is>
          <t>platform/architecture/system-architecture.md</t>
        </is>
      </c>
    </row>
    <row r="53">
      <c r="A53" s="11" t="inlineStr">
        <is>
          <t>FLR-DEL-003</t>
        </is>
      </c>
      <c r="B53" s="20" t="inlineStr">
        <is>
          <t>Central Delivery &amp; Customer Support</t>
        </is>
      </c>
      <c r="C53" s="6" t="inlineStr">
        <is>
          <t>Ticketing System Multi-Tenant Queue Configuration</t>
        </is>
      </c>
      <c r="D53" s="20" t="inlineStr">
        <is>
          <t>Configure support ticketing queues with automated routing based on customer subscription tier and severity.</t>
        </is>
      </c>
      <c r="E53" s="11" t="inlineStr">
        <is>
          <t>High</t>
        </is>
      </c>
      <c r="F53" s="20" t="inlineStr">
        <is>
          <t>Lead Software Architect</t>
        </is>
      </c>
      <c r="G53" s="14" t="inlineStr">
        <is>
          <t>In Progress</t>
        </is>
      </c>
      <c r="H53" s="20" t="inlineStr">
        <is>
          <t>Technology implementation</t>
        </is>
      </c>
      <c r="I53" s="20" t="inlineStr">
        <is>
          <t>Franchise Operations Lead</t>
        </is>
      </c>
      <c r="J53" s="20" t="inlineStr">
        <is>
          <t>Franchise Operations Lead</t>
        </is>
      </c>
      <c r="K53" s="11" t="inlineStr">
        <is>
          <t>2026-12-15</t>
        </is>
      </c>
      <c r="L53" s="19">
        <f>IF(AND(K53&lt;TODAY(), G53&lt;&gt;"Document Approved", G53&lt;&gt;"Process Verified"), "OVERDUE", "On Track")</f>
        <v/>
      </c>
      <c r="M53" s="11" t="inlineStr">
        <is>
          <t>FLR-OPS-002</t>
        </is>
      </c>
      <c r="N53" s="20" t="inlineStr">
        <is>
          <t>Gate 3: Product &amp; Delivery Readiness</t>
        </is>
      </c>
      <c r="O53" s="11" t="b">
        <v>0</v>
      </c>
      <c r="P53" s="20" t="inlineStr">
        <is>
          <t>clients/tmk-it-solutions/operations/support-sla-matrix.md</t>
        </is>
      </c>
    </row>
    <row r="54">
      <c r="A54" s="11" t="inlineStr">
        <is>
          <t>FLR-DEL-004</t>
        </is>
      </c>
      <c r="B54" s="20" t="inlineStr">
        <is>
          <t>Central Delivery &amp; Customer Support</t>
        </is>
      </c>
      <c r="C54" s="6" t="inlineStr">
        <is>
          <t>End-Client Customer Satisfaction (CSAT/NPS) Survey System</t>
        </is>
      </c>
      <c r="D54" s="20" t="inlineStr">
        <is>
          <t>Deploy automated 30-day post-onboarding satisfaction survey to benchmark end-user adoption and support quality.</t>
        </is>
      </c>
      <c r="E54" s="11" t="inlineStr">
        <is>
          <t>Medium</t>
        </is>
      </c>
      <c r="F54" s="20" t="inlineStr">
        <is>
          <t>Franchise Operations Lead</t>
        </is>
      </c>
      <c r="G54" s="14" t="inlineStr">
        <is>
          <t>In Progress</t>
        </is>
      </c>
      <c r="H54" s="20" t="inlineStr">
        <is>
          <t>Franchise operations</t>
        </is>
      </c>
      <c r="I54" s="20" t="inlineStr">
        <is>
          <t>Analyst 1</t>
        </is>
      </c>
      <c r="J54" s="20" t="inlineStr">
        <is>
          <t>Franchise Operations Lead</t>
        </is>
      </c>
      <c r="K54" s="11" t="inlineStr">
        <is>
          <t>2027-01-15</t>
        </is>
      </c>
      <c r="L54" s="19">
        <f>IF(AND(K54&lt;TODAY(), G54&lt;&gt;"Document Approved", G54&lt;&gt;"Process Verified"), "OVERDUE", "On Track")</f>
        <v/>
      </c>
      <c r="M54" s="11" t="inlineStr">
        <is>
          <t>FLR-DEL-003</t>
        </is>
      </c>
      <c r="N54" s="20" t="inlineStr">
        <is>
          <t>Gate 3: Product &amp; Delivery Readiness</t>
        </is>
      </c>
      <c r="O54" s="11" t="b">
        <v>0</v>
      </c>
      <c r="P54" s="20" t="inlineStr">
        <is>
          <t>templates/dashboards/franchise-kpi-dashboard.template.md</t>
        </is>
      </c>
    </row>
    <row r="55">
      <c r="A55" s="11" t="inlineStr">
        <is>
          <t>FLR-ONB-001</t>
        </is>
      </c>
      <c r="B55" s="20" t="inlineStr">
        <is>
          <t>Partner Onboarding Documents</t>
        </is>
      </c>
      <c r="C55" s="6" t="inlineStr">
        <is>
          <t>Franchise Application &amp; Due Diligence Questionnaire</t>
        </is>
      </c>
      <c r="D55" s="20" t="inlineStr">
        <is>
          <t>Create comprehensive application form capturing candidate business background, commercial references, and territory choice.</t>
        </is>
      </c>
      <c r="E55" s="11" t="inlineStr">
        <is>
          <t>High</t>
        </is>
      </c>
      <c r="F55" s="20" t="inlineStr">
        <is>
          <t>Analyst 1</t>
        </is>
      </c>
      <c r="G55" s="21" t="inlineStr">
        <is>
          <t>Document Approved</t>
        </is>
      </c>
      <c r="H55" s="20" t="inlineStr">
        <is>
          <t>Documentation and presentation</t>
        </is>
      </c>
      <c r="I55" s="20" t="inlineStr">
        <is>
          <t>Franchise Operations Lead</t>
        </is>
      </c>
      <c r="J55" s="20" t="inlineStr">
        <is>
          <t>Franchise Operations Lead</t>
        </is>
      </c>
      <c r="K55" s="11" t="inlineStr">
        <is>
          <t>2026-10-26</t>
        </is>
      </c>
      <c r="L55" s="19">
        <f>IF(AND(K55&lt;TODAY(), G55&lt;&gt;"Document Approved", G55&lt;&gt;"Process Verified"), "OVERDUE", "On Track")</f>
        <v/>
      </c>
      <c r="M55" s="11" t="inlineStr"/>
      <c r="N55" s="20" t="inlineStr">
        <is>
          <t>Gate 4: Franchise Recruitment Readiness</t>
        </is>
      </c>
      <c r="O55" s="11" t="b">
        <v>0</v>
      </c>
      <c r="P55" s="20" t="inlineStr">
        <is>
          <t>clients/tmk-it-solutions/sales-marketing/franchise-application-form.md</t>
        </is>
      </c>
    </row>
    <row r="56">
      <c r="A56" s="11" t="inlineStr">
        <is>
          <t>FLR-ONB-002</t>
        </is>
      </c>
      <c r="B56" s="20" t="inlineStr">
        <is>
          <t>Partner Onboarding Documents</t>
        </is>
      </c>
      <c r="C56" s="6" t="inlineStr">
        <is>
          <t>Partner KYC Dossier &amp; Background Verification Protocol</t>
        </is>
      </c>
      <c r="D56" s="20" t="inlineStr">
        <is>
          <t>Establish formal identity, police verification, credit bureau check (CIBIL $\ge 700$), and commercial reference check process.</t>
        </is>
      </c>
      <c r="E56" s="11" t="inlineStr">
        <is>
          <t>High</t>
        </is>
      </c>
      <c r="F56" s="20" t="inlineStr">
        <is>
          <t>Franchise Operations Lead</t>
        </is>
      </c>
      <c r="G56" s="14" t="inlineStr">
        <is>
          <t>Document Created</t>
        </is>
      </c>
      <c r="H56" s="20" t="inlineStr">
        <is>
          <t>Franchise operations</t>
        </is>
      </c>
      <c r="I56" s="20" t="inlineStr">
        <is>
          <t>Legal Counsel</t>
        </is>
      </c>
      <c r="J56" s="20" t="inlineStr">
        <is>
          <t>Legal Counsel</t>
        </is>
      </c>
      <c r="K56" s="11" t="inlineStr">
        <is>
          <t>2026-10-26</t>
        </is>
      </c>
      <c r="L56" s="19">
        <f>IF(AND(K56&lt;TODAY(), G56&lt;&gt;"Document Approved", G56&lt;&gt;"Process Verified"), "OVERDUE", "On Track")</f>
        <v/>
      </c>
      <c r="M56" s="11" t="inlineStr">
        <is>
          <t>FLR-ONB-001</t>
        </is>
      </c>
      <c r="N56" s="20" t="inlineStr">
        <is>
          <t>Gate 4: Franchise Recruitment Readiness</t>
        </is>
      </c>
      <c r="O56" s="11" t="b">
        <v>0</v>
      </c>
      <c r="P56" s="20" t="inlineStr">
        <is>
          <t>templates/checklists/franchise-due-diligence-questionnaire.template.md</t>
        </is>
      </c>
    </row>
    <row r="57">
      <c r="A57" s="11" t="inlineStr">
        <is>
          <t>FLR-ONB-003</t>
        </is>
      </c>
      <c r="B57" s="20" t="inlineStr">
        <is>
          <t>Partner Onboarding Documents</t>
        </is>
      </c>
      <c r="C57" s="6" t="inlineStr">
        <is>
          <t>Bank Statement Proof-of-Funds Verification Protocol</t>
        </is>
      </c>
      <c r="D57" s="20" t="inlineStr">
        <is>
          <t>Verify unencumbered bank balance demonstrating candidate has setup CapEx (₹75k) + minimum ₹50,000 liquid working capital cushion.</t>
        </is>
      </c>
      <c r="E57" s="11" t="inlineStr">
        <is>
          <t>Critical</t>
        </is>
      </c>
      <c r="F57" s="20" t="inlineStr">
        <is>
          <t>Finance Director / CA</t>
        </is>
      </c>
      <c r="G57" s="14" t="inlineStr">
        <is>
          <t>Document Created</t>
        </is>
      </c>
      <c r="H57" s="20" t="inlineStr">
        <is>
          <t>Finance and accounting</t>
        </is>
      </c>
      <c r="I57" s="20" t="inlineStr">
        <is>
          <t>Managing Partner</t>
        </is>
      </c>
      <c r="J57" s="20" t="inlineStr">
        <is>
          <t>Finance Director / CA</t>
        </is>
      </c>
      <c r="K57" s="11" t="inlineStr">
        <is>
          <t>2026-10-26</t>
        </is>
      </c>
      <c r="L57" s="19">
        <f>IF(AND(K57&lt;TODAY(), G57&lt;&gt;"Document Approved", G57&lt;&gt;"Process Verified"), "OVERDUE", "On Track")</f>
        <v/>
      </c>
      <c r="M57" s="11" t="inlineStr">
        <is>
          <t>FLR-FIN-005</t>
        </is>
      </c>
      <c r="N57" s="20" t="inlineStr">
        <is>
          <t>Gate 4: Franchise Recruitment Readiness</t>
        </is>
      </c>
      <c r="O57" s="19" t="b">
        <v>1</v>
      </c>
      <c r="P57" s="20" t="inlineStr">
        <is>
          <t>clients/tmk-it-solutions/research/franchisee-investment-feasibility.md</t>
        </is>
      </c>
    </row>
    <row r="58">
      <c r="A58" s="11" t="inlineStr">
        <is>
          <t>FLR-ONB-004</t>
        </is>
      </c>
      <c r="B58" s="20" t="inlineStr">
        <is>
          <t>Partner Onboarding Documents</t>
        </is>
      </c>
      <c r="C58" s="6" t="inlineStr">
        <is>
          <t>Partner Welcome Kit &amp; Collateral Dispatch SOP</t>
        </is>
      </c>
      <c r="D58" s="20" t="inlineStr">
        <is>
          <t>Standardize physical welcome box: acrylic desk plaque, visiting cards, software manuals, marketing standee, and official certificate.</t>
        </is>
      </c>
      <c r="E58" s="11" t="inlineStr">
        <is>
          <t>Medium</t>
        </is>
      </c>
      <c r="F58" s="20" t="inlineStr">
        <is>
          <t>Franchise Operations Lead</t>
        </is>
      </c>
      <c r="G58" s="14" t="inlineStr">
        <is>
          <t>Document Created</t>
        </is>
      </c>
      <c r="H58" s="20" t="inlineStr">
        <is>
          <t>Franchise operations</t>
        </is>
      </c>
      <c r="I58" s="20" t="inlineStr">
        <is>
          <t>Analyst 1</t>
        </is>
      </c>
      <c r="J58" s="20" t="inlineStr">
        <is>
          <t>Franchise Operations Lead</t>
        </is>
      </c>
      <c r="K58" s="11" t="inlineStr">
        <is>
          <t>2026-10-26</t>
        </is>
      </c>
      <c r="L58" s="19">
        <f>IF(AND(K58&lt;TODAY(), G58&lt;&gt;"Document Approved", G58&lt;&gt;"Process Verified"), "OVERDUE", "On Track")</f>
        <v/>
      </c>
      <c r="M58" s="11" t="inlineStr">
        <is>
          <t>FLR-OPS-003</t>
        </is>
      </c>
      <c r="N58" s="20" t="inlineStr">
        <is>
          <t>Gate 4: Franchise Recruitment Readiness</t>
        </is>
      </c>
      <c r="O58" s="11" t="b">
        <v>0</v>
      </c>
      <c r="P58" s="20" t="inlineStr">
        <is>
          <t>clients/tmk-it-solutions/franchise-model/onboarding-journey.md</t>
        </is>
      </c>
    </row>
    <row r="59">
      <c r="A59" s="11" t="inlineStr">
        <is>
          <t>FLR-GOV-001</t>
        </is>
      </c>
      <c r="B59" s="20" t="inlineStr">
        <is>
          <t>Governance &amp; Performance Monitoring</t>
        </is>
      </c>
      <c r="C59" s="6" t="inlineStr">
        <is>
          <t>13 Core Franchise KPI Tracking Dashboard Specification</t>
        </is>
      </c>
      <c r="D59" s="20" t="inlineStr">
        <is>
          <t>Specify executive telemetry dashboard monitoring sales velocity, EBITDA, renewal retention, and support SLAs across territories.</t>
        </is>
      </c>
      <c r="E59" s="11" t="inlineStr">
        <is>
          <t>High</t>
        </is>
      </c>
      <c r="F59" s="20" t="inlineStr">
        <is>
          <t>Analyst 2</t>
        </is>
      </c>
      <c r="G59" s="21" t="inlineStr">
        <is>
          <t>Document Approved</t>
        </is>
      </c>
      <c r="H59" s="20" t="inlineStr">
        <is>
          <t>Documentation and presentation</t>
        </is>
      </c>
      <c r="I59" s="20" t="inlineStr">
        <is>
          <t>Franchise Operations Lead</t>
        </is>
      </c>
      <c r="J59" s="20" t="inlineStr">
        <is>
          <t>Practice Lead</t>
        </is>
      </c>
      <c r="K59" s="11" t="inlineStr">
        <is>
          <t>2026-10-26</t>
        </is>
      </c>
      <c r="L59" s="19">
        <f>IF(AND(K59&lt;TODAY(), G59&lt;&gt;"Document Approved", G59&lt;&gt;"Process Verified"), "OVERDUE", "On Track")</f>
        <v/>
      </c>
      <c r="M59" s="11" t="inlineStr"/>
      <c r="N59" s="20" t="inlineStr">
        <is>
          <t>Gate 5: Pilot Launch Readiness</t>
        </is>
      </c>
      <c r="O59" s="11" t="b">
        <v>0</v>
      </c>
      <c r="P59" s="20" t="inlineStr">
        <is>
          <t>templates/dashboards/franchise-kpi-dashboard.template.md</t>
        </is>
      </c>
    </row>
    <row r="60">
      <c r="A60" s="11" t="inlineStr">
        <is>
          <t>FLR-GOV-002</t>
        </is>
      </c>
      <c r="B60" s="20" t="inlineStr">
        <is>
          <t>Governance &amp; Performance Monitoring</t>
        </is>
      </c>
      <c r="C60" s="6" t="inlineStr">
        <is>
          <t>Minimum Quarterly Software License Benchmark Quotas</t>
        </is>
      </c>
      <c r="D60" s="20" t="inlineStr">
        <is>
          <t>Codify territory benchmark quotas (e.g. minimum 6 contracts per quarter post-ramp) required to maintain exclusivity.</t>
        </is>
      </c>
      <c r="E60" s="11" t="inlineStr">
        <is>
          <t>High</t>
        </is>
      </c>
      <c r="F60" s="20" t="inlineStr">
        <is>
          <t>Analyst 2</t>
        </is>
      </c>
      <c r="G60" s="21" t="inlineStr">
        <is>
          <t>Document Approved</t>
        </is>
      </c>
      <c r="H60" s="20" t="inlineStr">
        <is>
          <t>Business research and modeling</t>
        </is>
      </c>
      <c r="I60" s="20" t="inlineStr">
        <is>
          <t>Managing Partner</t>
        </is>
      </c>
      <c r="J60" s="20" t="inlineStr">
        <is>
          <t>Managing Partner</t>
        </is>
      </c>
      <c r="K60" s="11" t="inlineStr">
        <is>
          <t>2026-10-26</t>
        </is>
      </c>
      <c r="L60" s="19">
        <f>IF(AND(K60&lt;TODAY(), G60&lt;&gt;"Document Approved", G60&lt;&gt;"Process Verified"), "OVERDUE", "On Track")</f>
        <v/>
      </c>
      <c r="M60" s="11" t="inlineStr">
        <is>
          <t>FLR-BMS-005</t>
        </is>
      </c>
      <c r="N60" s="20" t="inlineStr">
        <is>
          <t>Gate 5: Pilot Launch Readiness</t>
        </is>
      </c>
      <c r="O60" s="11" t="b">
        <v>0</v>
      </c>
      <c r="P60" s="20" t="inlineStr">
        <is>
          <t>clients/tmk-it-solutions/financial-models/assumptions.json</t>
        </is>
      </c>
    </row>
    <row r="61">
      <c r="A61" s="11" t="inlineStr">
        <is>
          <t>FLR-GOV-003</t>
        </is>
      </c>
      <c r="B61" s="20" t="inlineStr">
        <is>
          <t>Governance &amp; Performance Monitoring</t>
        </is>
      </c>
      <c r="C61" s="6" t="inlineStr">
        <is>
          <t>Franchise Advisory Council (FAC) Governance Charter</t>
        </is>
      </c>
      <c r="D61" s="20" t="inlineStr">
        <is>
          <t>Formulate governance framework for collaborative franchisee representation, quarterly sessions, and product roadmap reviews.</t>
        </is>
      </c>
      <c r="E61" s="11" t="inlineStr">
        <is>
          <t>Medium</t>
        </is>
      </c>
      <c r="F61" s="20" t="inlineStr">
        <is>
          <t>Analyst 1</t>
        </is>
      </c>
      <c r="G61" s="14" t="inlineStr">
        <is>
          <t>Document Created</t>
        </is>
      </c>
      <c r="H61" s="20" t="inlineStr">
        <is>
          <t>Documentation and presentation</t>
        </is>
      </c>
      <c r="I61" s="20" t="inlineStr">
        <is>
          <t>Managing Partner</t>
        </is>
      </c>
      <c r="J61" s="20" t="inlineStr">
        <is>
          <t>Managing Partner</t>
        </is>
      </c>
      <c r="K61" s="11" t="inlineStr">
        <is>
          <t>2026-10-26</t>
        </is>
      </c>
      <c r="L61" s="19">
        <f>IF(AND(K61&lt;TODAY(), G61&lt;&gt;"Document Approved", G61&lt;&gt;"Process Verified"), "OVERDUE", "On Track")</f>
        <v/>
      </c>
      <c r="M61" s="11" t="inlineStr"/>
      <c r="N61" s="20" t="inlineStr">
        <is>
          <t>Gate 6: National Expansion Approval</t>
        </is>
      </c>
      <c r="O61" s="11" t="b">
        <v>0</v>
      </c>
      <c r="P61" s="20" t="inlineStr">
        <is>
          <t>templates/governance/franchise-advisory-council-charter.template.md</t>
        </is>
      </c>
    </row>
    <row r="62">
      <c r="A62" s="11" t="inlineStr">
        <is>
          <t>FLR-GOV-004</t>
        </is>
      </c>
      <c r="B62" s="20" t="inlineStr">
        <is>
          <t>Governance &amp; Performance Monitoring</t>
        </is>
      </c>
      <c r="C62" s="6" t="inlineStr">
        <is>
          <t>Management Decision Register &amp; Policy Revision Log</t>
        </is>
      </c>
      <c r="D62" s="20" t="inlineStr">
        <is>
          <t>Maintain immutable audit log recording all formal leadership decisions regarding fee revisions, waivers, and territory adjustments.</t>
        </is>
      </c>
      <c r="E62" s="11" t="inlineStr">
        <is>
          <t>High</t>
        </is>
      </c>
      <c r="F62" s="20" t="inlineStr">
        <is>
          <t>Analyst 1</t>
        </is>
      </c>
      <c r="G62" s="21" t="inlineStr">
        <is>
          <t>Process Implemented</t>
        </is>
      </c>
      <c r="H62" s="20" t="inlineStr">
        <is>
          <t>Management approval</t>
        </is>
      </c>
      <c r="I62" s="20" t="inlineStr">
        <is>
          <t>Managing Partner</t>
        </is>
      </c>
      <c r="J62" s="20" t="inlineStr">
        <is>
          <t>Managing Partner</t>
        </is>
      </c>
      <c r="K62" s="11" t="inlineStr">
        <is>
          <t>2026-10-26</t>
        </is>
      </c>
      <c r="L62" s="19">
        <f>IF(AND(K62&lt;TODAY(), G62&lt;&gt;"Document Approved", G62&lt;&gt;"Process Verified"), "OVERDUE", "On Track")</f>
        <v/>
      </c>
      <c r="M62" s="11" t="inlineStr"/>
      <c r="N62" s="20" t="inlineStr">
        <is>
          <t>Gate 5: Pilot Launch Readiness</t>
        </is>
      </c>
      <c r="O62" s="11" t="b">
        <v>0</v>
      </c>
      <c r="P62" s="20" t="inlineStr">
        <is>
          <t>clients/tmk-it-solutions/decisions/management-decision-register.md</t>
        </is>
      </c>
    </row>
    <row r="63">
      <c r="A63" s="11" t="inlineStr">
        <is>
          <t>FLR-GOV-005</t>
        </is>
      </c>
      <c r="B63" s="20" t="inlineStr">
        <is>
          <t>Governance &amp; Performance Monitoring</t>
        </is>
      </c>
      <c r="C63" s="6" t="inlineStr">
        <is>
          <t>Formal Approval Matrix Tracking Client Sign-Offs</t>
        </is>
      </c>
      <c r="D63" s="20" t="inlineStr">
        <is>
          <t>Maintain centralized ledger of formal deliverable approvals and signing authorities.</t>
        </is>
      </c>
      <c r="E63" s="11" t="inlineStr">
        <is>
          <t>Critical</t>
        </is>
      </c>
      <c r="F63" s="20" t="inlineStr">
        <is>
          <t>Analyst 1</t>
        </is>
      </c>
      <c r="G63" s="21" t="inlineStr">
        <is>
          <t>Process Implemented</t>
        </is>
      </c>
      <c r="H63" s="20" t="inlineStr">
        <is>
          <t>Management approval</t>
        </is>
      </c>
      <c r="I63" s="20" t="inlineStr">
        <is>
          <t>Managing Partner</t>
        </is>
      </c>
      <c r="J63" s="20" t="inlineStr">
        <is>
          <t>Managing Partner</t>
        </is>
      </c>
      <c r="K63" s="11" t="inlineStr">
        <is>
          <t>2026-10-26</t>
        </is>
      </c>
      <c r="L63" s="19">
        <f>IF(AND(K63&lt;TODAY(), G63&lt;&gt;"Document Approved", G63&lt;&gt;"Process Verified"), "OVERDUE", "On Track")</f>
        <v/>
      </c>
      <c r="M63" s="11" t="inlineStr"/>
      <c r="N63" s="20" t="inlineStr">
        <is>
          <t>Gate 1: Business Model Approved</t>
        </is>
      </c>
      <c r="O63" s="19" t="b">
        <v>1</v>
      </c>
      <c r="P63" s="20" t="inlineStr">
        <is>
          <t>clients/tmk-it-solutions/approvals/approval-matrix.md</t>
        </is>
      </c>
    </row>
    <row r="64">
      <c r="A64" s="11" t="inlineStr">
        <is>
          <t>FLR-PLT-001</t>
        </is>
      </c>
      <c r="B64" s="20" t="inlineStr">
        <is>
          <t>Pilot Launch &amp; Final Approval</t>
        </is>
      </c>
      <c r="C64" s="6" t="inlineStr">
        <is>
          <t>Pilot Territory Demographics &amp; Validation Brief (Pune, Satara, Baramati)</t>
        </is>
      </c>
      <c r="D64" s="20" t="inlineStr">
        <is>
          <t>Analyze commercial potential, MSME density, and school counts across the 3 selected Wave 1 pilot territories.</t>
        </is>
      </c>
      <c r="E64" s="11" t="inlineStr">
        <is>
          <t>High</t>
        </is>
      </c>
      <c r="F64" s="20" t="inlineStr">
        <is>
          <t>Analyst 1</t>
        </is>
      </c>
      <c r="G64" s="21" t="inlineStr">
        <is>
          <t>Document Approved</t>
        </is>
      </c>
      <c r="H64" s="20" t="inlineStr">
        <is>
          <t>Business research and modeling</t>
        </is>
      </c>
      <c r="I64" s="20" t="inlineStr">
        <is>
          <t>Analyst 2</t>
        </is>
      </c>
      <c r="J64" s="20" t="inlineStr">
        <is>
          <t>Practice Lead</t>
        </is>
      </c>
      <c r="K64" s="11" t="inlineStr">
        <is>
          <t>2026-10-26</t>
        </is>
      </c>
      <c r="L64" s="19">
        <f>IF(AND(K64&lt;TODAY(), G64&lt;&gt;"Document Approved", G64&lt;&gt;"Process Verified"), "OVERDUE", "On Track")</f>
        <v/>
      </c>
      <c r="M64" s="11" t="inlineStr">
        <is>
          <t>FLR-BMS-005</t>
        </is>
      </c>
      <c r="N64" s="20" t="inlineStr">
        <is>
          <t>Gate 5: Pilot Launch Readiness</t>
        </is>
      </c>
      <c r="O64" s="11" t="b">
        <v>0</v>
      </c>
      <c r="P64" s="20" t="inlineStr">
        <is>
          <t>clients/tmk-it-solutions/operations/pilot-launch-protocol.md</t>
        </is>
      </c>
    </row>
    <row r="65">
      <c r="A65" s="11" t="inlineStr">
        <is>
          <t>FLR-PLT-002</t>
        </is>
      </c>
      <c r="B65" s="20" t="inlineStr">
        <is>
          <t>Pilot Launch &amp; Final Approval</t>
        </is>
      </c>
      <c r="C65" s="6" t="inlineStr">
        <is>
          <t>Wave 1 Pilot Launch &amp; Audit Protocol Specification</t>
        </is>
      </c>
      <c r="D65" s="20" t="inlineStr">
        <is>
          <t>Establish 30/60/90-day evaluation gates, promotional fee agreements (₹25,000), and governance committee responsibilities.</t>
        </is>
      </c>
      <c r="E65" s="11" t="inlineStr">
        <is>
          <t>Critical</t>
        </is>
      </c>
      <c r="F65" s="20" t="inlineStr">
        <is>
          <t>Franchise Operations Lead</t>
        </is>
      </c>
      <c r="G65" s="21" t="inlineStr">
        <is>
          <t>Document Approved</t>
        </is>
      </c>
      <c r="H65" s="20" t="inlineStr">
        <is>
          <t>Franchise operations</t>
        </is>
      </c>
      <c r="I65" s="20" t="inlineStr">
        <is>
          <t>Managing Partner</t>
        </is>
      </c>
      <c r="J65" s="20" t="inlineStr">
        <is>
          <t>Managing Partner</t>
        </is>
      </c>
      <c r="K65" s="11" t="inlineStr">
        <is>
          <t>2026-10-26</t>
        </is>
      </c>
      <c r="L65" s="19">
        <f>IF(AND(K65&lt;TODAY(), G65&lt;&gt;"Document Approved", G65&lt;&gt;"Process Verified"), "OVERDUE", "On Track")</f>
        <v/>
      </c>
      <c r="M65" s="11" t="inlineStr">
        <is>
          <t>FLR-PLT-001</t>
        </is>
      </c>
      <c r="N65" s="20" t="inlineStr">
        <is>
          <t>Gate 5: Pilot Launch Readiness</t>
        </is>
      </c>
      <c r="O65" s="19" t="b">
        <v>1</v>
      </c>
      <c r="P65" s="20" t="inlineStr">
        <is>
          <t>clients/tmk-it-solutions/operations/pilot-launch-protocol.md</t>
        </is>
      </c>
    </row>
    <row r="66">
      <c r="A66" s="11" t="inlineStr">
        <is>
          <t>FLR-PLT-003</t>
        </is>
      </c>
      <c r="B66" s="20" t="inlineStr">
        <is>
          <t>Pilot Launch &amp; Final Approval</t>
        </is>
      </c>
      <c r="C66" s="6" t="inlineStr">
        <is>
          <t>Selection &amp; Contracting of Initial 3 Pilot Franchise Partners</t>
        </is>
      </c>
      <c r="D66" s="20" t="inlineStr">
        <is>
          <t>Vet candidate operators for Pune, Satara, and Baramati; execute pilot agreements with verified working capital cushion.</t>
        </is>
      </c>
      <c r="E66" s="11" t="inlineStr">
        <is>
          <t>Critical</t>
        </is>
      </c>
      <c r="F66" s="20" t="inlineStr">
        <is>
          <t>Managing Partner</t>
        </is>
      </c>
      <c r="G66" s="14" t="inlineStr">
        <is>
          <t>In Progress</t>
        </is>
      </c>
      <c r="H66" s="20" t="inlineStr">
        <is>
          <t>Management approval</t>
        </is>
      </c>
      <c r="I66" s="20" t="inlineStr">
        <is>
          <t>Legal Counsel</t>
        </is>
      </c>
      <c r="J66" s="20" t="inlineStr">
        <is>
          <t>Managing Partner</t>
        </is>
      </c>
      <c r="K66" s="11" t="inlineStr">
        <is>
          <t>2027-01-20</t>
        </is>
      </c>
      <c r="L66" s="19">
        <f>IF(AND(K66&lt;TODAY(), G66&lt;&gt;"Document Approved", G66&lt;&gt;"Process Verified"), "OVERDUE", "On Track")</f>
        <v/>
      </c>
      <c r="M66" s="11" t="inlineStr">
        <is>
          <t>FLR-LGL-002, FLR-ONB-003, FLR-PLT-002</t>
        </is>
      </c>
      <c r="N66" s="20" t="inlineStr">
        <is>
          <t>Gate 5: Pilot Launch Readiness</t>
        </is>
      </c>
      <c r="O66" s="19" t="b">
        <v>1</v>
      </c>
      <c r="P66" s="20" t="inlineStr">
        <is>
          <t>clients/tmk-it-solutions/operations/pilot-launch-protocol.md</t>
        </is>
      </c>
    </row>
    <row r="67">
      <c r="A67" s="11" t="inlineStr">
        <is>
          <t>FLR-PLT-004</t>
        </is>
      </c>
      <c r="B67" s="20" t="inlineStr">
        <is>
          <t>Pilot Launch &amp; Final Approval</t>
        </is>
      </c>
      <c r="C67" s="6" t="inlineStr">
        <is>
          <t>30-Day Pilot Operational Review &amp; Lead Velocity Audit</t>
        </is>
      </c>
      <c r="D67" s="20" t="inlineStr">
        <is>
          <t>Audit physical office setups, initial CRM lead generation velocity, and mock software demo completion for pilot units.</t>
        </is>
      </c>
      <c r="E67" s="11" t="inlineStr">
        <is>
          <t>High</t>
        </is>
      </c>
      <c r="F67" s="20" t="inlineStr">
        <is>
          <t>Analyst 1</t>
        </is>
      </c>
      <c r="G67" s="7" t="inlineStr">
        <is>
          <t>Not Started</t>
        </is>
      </c>
      <c r="H67" s="20" t="inlineStr">
        <is>
          <t>Franchise operations</t>
        </is>
      </c>
      <c r="I67" s="20" t="inlineStr">
        <is>
          <t>Franchise Operations Lead</t>
        </is>
      </c>
      <c r="J67" s="20" t="inlineStr">
        <is>
          <t>Franchise Operations Lead</t>
        </is>
      </c>
      <c r="K67" s="11" t="inlineStr">
        <is>
          <t>2027-02-28</t>
        </is>
      </c>
      <c r="L67" s="19">
        <f>IF(AND(K67&lt;TODAY(), G67&lt;&gt;"Document Approved", G67&lt;&gt;"Process Verified"), "OVERDUE", "On Track")</f>
        <v/>
      </c>
      <c r="M67" s="11" t="inlineStr">
        <is>
          <t>FLR-PLT-003</t>
        </is>
      </c>
      <c r="N67" s="20" t="inlineStr">
        <is>
          <t>Gate 6: National Expansion Approval</t>
        </is>
      </c>
      <c r="O67" s="11" t="b">
        <v>0</v>
      </c>
      <c r="P67" s="20" t="inlineStr">
        <is>
          <t>clients/tmk-it-solutions/operations/pilot-launch-protocol.md</t>
        </is>
      </c>
    </row>
    <row r="68">
      <c r="A68" s="11" t="inlineStr">
        <is>
          <t>FLR-PLT-005</t>
        </is>
      </c>
      <c r="B68" s="20" t="inlineStr">
        <is>
          <t>Pilot Launch &amp; Final Approval</t>
        </is>
      </c>
      <c r="C68" s="6" t="inlineStr">
        <is>
          <t>60-Day Pilot Revenue &amp; Commission Reconciliation Audit</t>
        </is>
      </c>
      <c r="D68" s="20" t="inlineStr">
        <is>
          <t>Audit first commercial sales, billing generation, 18% GST remittance, and partner commission disbursements.</t>
        </is>
      </c>
      <c r="E68" s="11" t="inlineStr">
        <is>
          <t>Critical</t>
        </is>
      </c>
      <c r="F68" s="20" t="inlineStr">
        <is>
          <t>Analyst 2</t>
        </is>
      </c>
      <c r="G68" s="7" t="inlineStr">
        <is>
          <t>Not Started</t>
        </is>
      </c>
      <c r="H68" s="20" t="inlineStr">
        <is>
          <t>Finance and accounting</t>
        </is>
      </c>
      <c r="I68" s="20" t="inlineStr">
        <is>
          <t>Finance Director / CA</t>
        </is>
      </c>
      <c r="J68" s="20" t="inlineStr">
        <is>
          <t>Finance Director / CA</t>
        </is>
      </c>
      <c r="K68" s="11" t="inlineStr">
        <is>
          <t>2027-03-31</t>
        </is>
      </c>
      <c r="L68" s="19">
        <f>IF(AND(K68&lt;TODAY(), G68&lt;&gt;"Document Approved", G68&lt;&gt;"Process Verified"), "OVERDUE", "On Track")</f>
        <v/>
      </c>
      <c r="M68" s="11" t="inlineStr">
        <is>
          <t>FLR-PLT-004</t>
        </is>
      </c>
      <c r="N68" s="20" t="inlineStr">
        <is>
          <t>Gate 6: National Expansion Approval</t>
        </is>
      </c>
      <c r="O68" s="19" t="b">
        <v>1</v>
      </c>
      <c r="P68" s="20" t="inlineStr">
        <is>
          <t>clients/tmk-it-solutions/operations/pilot-launch-protocol.md</t>
        </is>
      </c>
    </row>
    <row r="69">
      <c r="A69" s="11" t="inlineStr">
        <is>
          <t>FLR-PLT-006</t>
        </is>
      </c>
      <c r="B69" s="20" t="inlineStr">
        <is>
          <t>Pilot Launch &amp; Final Approval</t>
        </is>
      </c>
      <c r="C69" s="6" t="inlineStr">
        <is>
          <t>90-Day Pilot Completion Audit &amp; National Expansion Gate Approval</t>
        </is>
      </c>
      <c r="D69" s="20" t="inlineStr">
        <is>
          <t>Executive review evaluating pilot sales velocity, CSAT survey scores ($\ge 85\%$), and model financial reconciliation.</t>
        </is>
      </c>
      <c r="E69" s="11" t="inlineStr">
        <is>
          <t>Critical</t>
        </is>
      </c>
      <c r="F69" s="20" t="inlineStr">
        <is>
          <t>Managing Partner</t>
        </is>
      </c>
      <c r="G69" s="7" t="inlineStr">
        <is>
          <t>Not Started</t>
        </is>
      </c>
      <c r="H69" s="20" t="inlineStr">
        <is>
          <t>Management approval</t>
        </is>
      </c>
      <c r="I69" s="20" t="inlineStr">
        <is>
          <t>Executive Committee</t>
        </is>
      </c>
      <c r="J69" s="20" t="inlineStr">
        <is>
          <t>Managing Partner</t>
        </is>
      </c>
      <c r="K69" s="11" t="inlineStr">
        <is>
          <t>2027-04-30</t>
        </is>
      </c>
      <c r="L69" s="19">
        <f>IF(AND(K69&lt;TODAY(), G69&lt;&gt;"Document Approved", G69&lt;&gt;"Process Verified"), "OVERDUE", "On Track")</f>
        <v/>
      </c>
      <c r="M69" s="11" t="inlineStr">
        <is>
          <t>FLR-PLT-005</t>
        </is>
      </c>
      <c r="N69" s="20" t="inlineStr">
        <is>
          <t>Gate 6: National Expansion Approval</t>
        </is>
      </c>
      <c r="O69" s="19" t="b">
        <v>1</v>
      </c>
      <c r="P69" s="20" t="inlineStr">
        <is>
          <t>clients/tmk-it-solutions/operations/pilot-launch-protocol.md</t>
        </is>
      </c>
    </row>
  </sheetData>
  <autoFilter ref="A4:P69"/>
  <dataValidations count="2">
    <dataValidation sqref="G5:G69" showDropDown="0" showInputMessage="0" showErrorMessage="0" allowBlank="1" errorTitle="Invalid Status" error="Invalid status selected. Choose from official maturity stages." type="list">
      <formula1>"Not Started,In Progress,Document Created,Document Reviewed,Document Approved,Process Implemented,Process Verified"</formula1>
    </dataValidation>
    <dataValidation sqref="E5:E69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35" customWidth="1" min="4" max="4"/>
    <col width="45" customWidth="1" min="5" max="5"/>
    <col width="22" customWidth="1" min="6" max="6"/>
  </cols>
  <sheetData>
    <row r="1">
      <c r="A1" s="1" t="inlineStr">
        <is>
          <t>TMK IT Solutions LLP — Launch Gates &amp; Blocker Specifications</t>
        </is>
      </c>
    </row>
    <row r="2">
      <c r="A2" s="2" t="inlineStr">
        <is>
          <t>Stage-gate entry/exit criteria, non-negotiable blocker definitions, and override policies</t>
        </is>
      </c>
    </row>
    <row r="3"/>
    <row r="4">
      <c r="A4" s="3" t="inlineStr">
        <is>
          <t>STAGE-GATE GOVERNANCE MATRIX</t>
        </is>
      </c>
    </row>
    <row r="5">
      <c r="A5" s="5" t="inlineStr">
        <is>
          <t>Gate ID</t>
        </is>
      </c>
      <c r="B5" s="4" t="inlineStr">
        <is>
          <t>Gate Name</t>
        </is>
      </c>
      <c r="C5" s="5" t="inlineStr">
        <is>
          <t>Target Date</t>
        </is>
      </c>
      <c r="D5" s="4" t="inlineStr">
        <is>
          <t>Governing Domains</t>
        </is>
      </c>
      <c r="E5" s="4" t="inlineStr">
        <is>
          <t>Mandatory Exit Criteria</t>
        </is>
      </c>
      <c r="F5" s="4" t="inlineStr">
        <is>
          <t>Approval Authority</t>
        </is>
      </c>
    </row>
    <row r="6">
      <c r="A6" s="11" t="inlineStr">
        <is>
          <t>Gate 1</t>
        </is>
      </c>
      <c r="B6" s="6" t="inlineStr">
        <is>
          <t>Gate 1: Business Model Approved</t>
        </is>
      </c>
      <c r="C6" s="11" t="inlineStr">
        <is>
          <t>2026-10-26</t>
        </is>
      </c>
      <c r="D6" s="20" t="inlineStr">
        <is>
          <t>Strategy, Pricing &amp; Revenue Sharing</t>
        </is>
      </c>
      <c r="E6" s="20" t="inlineStr">
        <is>
          <t>Break-even units verified (2 contracts/mo); payback &lt;= 12 months; formal sign-off.</t>
        </is>
      </c>
      <c r="F6" s="6" t="inlineStr">
        <is>
          <t>Managing Partner</t>
        </is>
      </c>
    </row>
    <row r="7">
      <c r="A7" s="11" t="inlineStr">
        <is>
          <t>Gate 2</t>
        </is>
      </c>
      <c r="B7" s="6" t="inlineStr">
        <is>
          <t>Gate 2: Legal &amp; Financial Readiness</t>
        </is>
      </c>
      <c r="C7" s="11" t="inlineStr">
        <is>
          <t>2026-12-01</t>
        </is>
      </c>
      <c r="D7" s="20" t="inlineStr">
        <is>
          <t>Legal Agreements, Statutory Taxes &amp; Escrow</t>
        </is>
      </c>
      <c r="E7" s="20" t="inlineStr">
        <is>
          <t>Master agreement certified by corporate legal counsel; 18% GST pass-through isolated; bank escrow active.</t>
        </is>
      </c>
      <c r="F7" s="6" t="inlineStr">
        <is>
          <t>Corporate Legal Counsel &amp; CA</t>
        </is>
      </c>
    </row>
    <row r="8">
      <c r="A8" s="11" t="inlineStr">
        <is>
          <t>Gate 3</t>
        </is>
      </c>
      <c r="B8" s="6" t="inlineStr">
        <is>
          <t>Gate 3: Product &amp; Delivery Readiness</t>
        </is>
      </c>
      <c r="C8" s="11" t="inlineStr">
        <is>
          <t>2026-12-15</t>
        </is>
      </c>
      <c r="D8" s="20" t="inlineStr">
        <is>
          <t>6 Software Products, Central SLAs &amp; Cloud</t>
        </is>
      </c>
      <c r="E8" s="20" t="inlineStr">
        <is>
          <t>Live demonstration sandboxes active for all 6 products; support SLA matrix approved; 99.9% cloud HA.</t>
        </is>
      </c>
      <c r="F8" s="6" t="inlineStr">
        <is>
          <t>Lead Software Architect</t>
        </is>
      </c>
    </row>
    <row r="9">
      <c r="A9" s="11" t="inlineStr">
        <is>
          <t>Gate 4</t>
        </is>
      </c>
      <c r="B9" s="6" t="inlineStr">
        <is>
          <t>Gate 4: Franchise Recruitment Readiness</t>
        </is>
      </c>
      <c r="C9" s="11" t="inlineStr">
        <is>
          <t>2027-01-05</t>
        </is>
      </c>
      <c r="D9" s="20" t="inlineStr">
        <is>
          <t>Pitch Collateral, Prospectus &amp; Vetting</t>
        </is>
      </c>
      <c r="E9" s="20" t="inlineStr">
        <is>
          <t>Institutional prospectus and FAQ completed with disclaimers; partner application form active; proof-of-funds verified.</t>
        </is>
      </c>
      <c r="F9" s="6" t="inlineStr">
        <is>
          <t>Head of Recruitment &amp; Counsel</t>
        </is>
      </c>
    </row>
    <row r="10">
      <c r="A10" s="11" t="inlineStr">
        <is>
          <t>Gate 5</t>
        </is>
      </c>
      <c r="B10" s="6" t="inlineStr">
        <is>
          <t>Gate 5: Pilot Launch Readiness</t>
        </is>
      </c>
      <c r="C10" s="11" t="inlineStr">
        <is>
          <t>2027-01-20</t>
        </is>
      </c>
      <c r="D10" s="20" t="inlineStr">
        <is>
          <t>Operations SOPs, CRM Deal Lock &amp; Training</t>
        </is>
      </c>
      <c r="E10" s="20" t="inlineStr">
        <is>
          <t>10-day training curriculum completed; 90-day CRM deal lock engine active; 3 pilot partner agreements signed.</t>
        </is>
      </c>
      <c r="F10" s="6" t="inlineStr">
        <is>
          <t>Director of Operations &amp; CEO</t>
        </is>
      </c>
    </row>
    <row r="11">
      <c r="A11" s="11" t="inlineStr">
        <is>
          <t>Gate 6</t>
        </is>
      </c>
      <c r="B11" s="6" t="inlineStr">
        <is>
          <t>Gate 6: National Expansion Approval</t>
        </is>
      </c>
      <c r="C11" s="11" t="inlineStr">
        <is>
          <t>2027-04-30</t>
        </is>
      </c>
      <c r="D11" s="20" t="inlineStr">
        <is>
          <t>Pilot Audits, CSAT &amp; Network Gating</t>
        </is>
      </c>
      <c r="E11" s="20" t="inlineStr">
        <is>
          <t>90-day pilot sales velocity reconciled against model; end-customer CSAT &gt;= 85%; board authorization.</t>
        </is>
      </c>
      <c r="F11" s="6" t="inlineStr">
        <is>
          <t>Board of Directors / Executive Lead</t>
        </is>
      </c>
    </row>
    <row r="12"/>
    <row r="13"/>
    <row r="14">
      <c r="A14" s="3" t="inlineStr">
        <is>
          <t>CRITICAL LAUNCH BLOCKER TAXONOMY (AUTOMATIC VETO CONDITIONS)</t>
        </is>
      </c>
    </row>
    <row r="15">
      <c r="A15" s="5" t="inlineStr">
        <is>
          <t>Blocker ID</t>
        </is>
      </c>
      <c r="B15" s="5" t="inlineStr">
        <is>
          <t>Affected Gates</t>
        </is>
      </c>
      <c r="C15" s="4" t="inlineStr">
        <is>
          <t>Defect Title &amp; Root Cause</t>
        </is>
      </c>
      <c r="D15" s="4" t="inlineStr">
        <is>
          <t>Impact &amp; Risk</t>
        </is>
      </c>
      <c r="E15" s="4" t="inlineStr">
        <is>
          <t>Mandatory Resolution Requirement</t>
        </is>
      </c>
      <c r="F15" s="5" t="inlineStr">
        <is>
          <t>Default Status</t>
        </is>
      </c>
    </row>
    <row r="16">
      <c r="A16" s="11" t="inlineStr">
        <is>
          <t>BLK-001</t>
        </is>
      </c>
      <c r="B16" s="11" t="inlineStr">
        <is>
          <t>Gate 2, Gate 4</t>
        </is>
      </c>
      <c r="C16" s="6" t="inlineStr">
        <is>
          <t>Unvetted Franchise Contract</t>
        </is>
      </c>
      <c r="D16" s="20" t="inlineStr">
        <is>
          <t>Regulatory fines, illegal contract claims, partner litigation</t>
        </is>
      </c>
      <c r="E16" s="20" t="inlineStr">
        <is>
          <t>Written certification and legal opinion signed by corporate counsel</t>
        </is>
      </c>
      <c r="F16" s="9" t="inlineStr">
        <is>
          <t>Active - In Progress</t>
        </is>
      </c>
    </row>
    <row r="17">
      <c r="A17" s="11" t="inlineStr">
        <is>
          <t>BLK-002</t>
        </is>
      </c>
      <c r="B17" s="11" t="inlineStr">
        <is>
          <t>Gate 2</t>
        </is>
      </c>
      <c r="C17" s="6" t="inlineStr">
        <is>
          <t>Tax Pass-Through Non-Segregation</t>
        </is>
      </c>
      <c r="D17" s="20" t="inlineStr">
        <is>
          <t>Illegal GST tax non-compliance, distorted partner commission calculations</t>
        </is>
      </c>
      <c r="E17" s="20" t="inlineStr">
        <is>
          <t>Decimal calculator isolates 18% GST before computing 40:60 splits</t>
        </is>
      </c>
      <c r="F17" s="21" t="inlineStr">
        <is>
          <t>Resolved - Verified</t>
        </is>
      </c>
    </row>
    <row r="18">
      <c r="A18" s="11" t="inlineStr">
        <is>
          <t>BLK-003</t>
        </is>
      </c>
      <c r="B18" s="11" t="inlineStr">
        <is>
          <t>Gate 3</t>
        </is>
      </c>
      <c r="C18" s="6" t="inlineStr">
        <is>
          <t>Unstable Software Demo Sandbox</t>
        </is>
      </c>
      <c r="D18" s="20" t="inlineStr">
        <is>
          <t>Failed sales presentations, damaged franchisor credibility, zero conversions</t>
        </is>
      </c>
      <c r="E18" s="20" t="inlineStr">
        <is>
          <t>Dedicated cloud demo instances deployed with synthetic test data and 99.9% uptime</t>
        </is>
      </c>
      <c r="F18" s="9" t="inlineStr">
        <is>
          <t>Active - Staging</t>
        </is>
      </c>
    </row>
    <row r="19">
      <c r="A19" s="11" t="inlineStr">
        <is>
          <t>BLK-004</t>
        </is>
      </c>
      <c r="B19" s="11" t="inlineStr">
        <is>
          <t>Gate 3, Gate 5</t>
        </is>
      </c>
      <c r="C19" s="6" t="inlineStr">
        <is>
          <t>Undefined Central SLA Escalation</t>
        </is>
      </c>
      <c r="D19" s="20" t="inlineStr">
        <is>
          <t>Unresolved software defects, customer churn, partner dissatisfaction</t>
        </is>
      </c>
      <c r="E19" s="20" t="inlineStr">
        <is>
          <t>Published SLA matrix with signed engineering commitment for P1 (&lt; 2h) issues</t>
        </is>
      </c>
      <c r="F19" s="21" t="inlineStr">
        <is>
          <t>Resolved - Approved</t>
        </is>
      </c>
    </row>
    <row r="20">
      <c r="A20" s="11" t="inlineStr">
        <is>
          <t>BLK-005</t>
        </is>
      </c>
      <c r="B20" s="11" t="inlineStr">
        <is>
          <t>Gate 4, Gate 5</t>
        </is>
      </c>
      <c r="C20" s="6" t="inlineStr">
        <is>
          <t>Inadequate Partner Working Capital Reserve</t>
        </is>
      </c>
      <c r="D20" s="20" t="inlineStr">
        <is>
          <t>Partner insolvency during initial ramp-up, unit abandonment, brand failure</t>
        </is>
      </c>
      <c r="E20" s="20" t="inlineStr">
        <is>
          <t>Mandatory bank statement proof-of-funds verification (minimum ₹50k liquid cushion)</t>
        </is>
      </c>
      <c r="F20" s="9" t="inlineStr">
        <is>
          <t>Active - Draft Created</t>
        </is>
      </c>
    </row>
    <row r="21">
      <c r="A21" s="11" t="inlineStr">
        <is>
          <t>BLK-006</t>
        </is>
      </c>
      <c r="B21" s="11" t="inlineStr">
        <is>
          <t>Gate 6</t>
        </is>
      </c>
      <c r="C21" s="6" t="inlineStr">
        <is>
          <t>Unvalidated Pilot Milestone Audit</t>
        </is>
      </c>
      <c r="D21" s="20" t="inlineStr">
        <is>
          <t>Premature national rollout of flawed economic or operational model</t>
        </is>
      </c>
      <c r="E21" s="20" t="inlineStr">
        <is>
          <t>Completed 90-day pilot revenue audit and CSAT survey (&gt;= 85%)</t>
        </is>
      </c>
      <c r="F21" s="9" t="inlineStr">
        <is>
          <t>Pending - Scheduled</t>
        </is>
      </c>
    </row>
    <row r="22">
      <c r="A22" s="11" t="inlineStr">
        <is>
          <t>BLK-007</t>
        </is>
      </c>
      <c r="B22" s="11" t="inlineStr">
        <is>
          <t>Gate 5</t>
        </is>
      </c>
      <c r="C22" s="6" t="inlineStr">
        <is>
          <t>Absence of CRM Deal Registration Lock</t>
        </is>
      </c>
      <c r="D22" s="20" t="inlineStr">
        <is>
          <t>Partner lead poaching, territory disputes, channel cannibalization</t>
        </is>
      </c>
      <c r="E22" s="20" t="inlineStr">
        <is>
          <t>Technical enforcement of 90-day prospect protection in central partner portal</t>
        </is>
      </c>
      <c r="F22" s="9" t="inlineStr">
        <is>
          <t>Active -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2026-10-26T13:51:15Z</dcterms:created>
  <dcterms:modified xmlns:dcterms="http://purl.org/dc/terms/" xmlns:xsi="http://www.w3.org/2001/XMLSchema-instance" xsi:type="dcterms:W3CDTF">2026-10-26T13:51:15Z</dcterms:modified>
</cp:coreProperties>
</file>