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roduct Pricing" sheetId="3" state="visible" r:id="rId3"/>
    <sheet xmlns:r="http://schemas.openxmlformats.org/officeDocument/2006/relationships" name="Franchise Investment" sheetId="4" state="visible" r:id="rId4"/>
    <sheet xmlns:r="http://schemas.openxmlformats.org/officeDocument/2006/relationships" name="Monthly Sales Forecast" sheetId="5" state="visible" r:id="rId5"/>
    <sheet xmlns:r="http://schemas.openxmlformats.org/officeDocument/2006/relationships" name="Franchisee P&amp;L" sheetId="6" state="visible" r:id="rId6"/>
    <sheet xmlns:r="http://schemas.openxmlformats.org/officeDocument/2006/relationships" name="Franchisor P&amp;L" sheetId="7" state="visible" r:id="rId7"/>
    <sheet xmlns:r="http://schemas.openxmlformats.org/officeDocument/2006/relationships" name="Cash Flow" sheetId="8" state="visible" r:id="rId8"/>
    <sheet xmlns:r="http://schemas.openxmlformats.org/officeDocument/2006/relationships" name="Break-Even Analysis" sheetId="9" state="visible" r:id="rId9"/>
    <sheet xmlns:r="http://schemas.openxmlformats.org/officeDocument/2006/relationships" name="Scenario Analy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0.0%"/>
    <numFmt numFmtId="166" formatCode="₹#,##0"/>
  </numFmts>
  <fonts count="8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i val="1"/>
      <sz val="10"/>
    </font>
    <font>
      <name val="Calibri"/>
      <b val="1"/>
      <color rgb="001F497D"/>
      <sz val="12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  <fill>
      <patternFill patternType="solid">
        <fgColor rgb="00EBF1DE"/>
        <bgColor rgb="00EBF1DE"/>
      </patternFill>
    </fill>
  </fills>
  <borders count="2">
    <border>
      <left/>
      <right/>
      <top/>
      <bottom/>
      <diagonal/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7" fillId="0" borderId="0" pivotButton="0" quotePrefix="0" xfId="0"/>
    <xf numFmtId="0" fontId="3" fillId="2" borderId="0" pivotButton="0" quotePrefix="0" xfId="0"/>
    <xf numFmtId="166" fontId="4" fillId="3" borderId="0" pivotButton="0" quotePrefix="0" xfId="0"/>
    <xf numFmtId="1" fontId="4" fillId="3" borderId="0" pivotButton="0" quotePrefix="0" xfId="0"/>
    <xf numFmtId="165" fontId="4" fillId="3" borderId="0" pivotButton="0" quotePrefix="0" xfId="0"/>
    <xf numFmtId="166" fontId="4" fillId="0" borderId="0" pivotButton="0" quotePrefix="0" xfId="0"/>
    <xf numFmtId="166" fontId="0" fillId="0" borderId="0" pivotButton="0" quotePrefix="0" xfId="0"/>
    <xf numFmtId="0" fontId="0" fillId="0" borderId="1" pivotButton="0" quotePrefix="0" xfId="0"/>
    <xf numFmtId="0" fontId="4" fillId="0" borderId="1" pivotButton="0" quotePrefix="0" xfId="0"/>
    <xf numFmtId="166" fontId="4" fillId="0" borderId="1" pivotButton="0" quotePrefix="0" xfId="0"/>
    <xf numFmtId="166" fontId="0" fillId="0" borderId="1" pivotButton="0" quotePrefix="0" xfId="0"/>
    <xf numFmtId="165" fontId="0" fillId="0" borderId="0" pivotButton="0" quotePrefix="0" xfId="0"/>
    <xf numFmtId="0" fontId="2" fillId="0" borderId="1" pivotButton="0" quotePrefix="0" xfId="0"/>
    <xf numFmtId="166" fontId="1" fillId="0" borderId="1" pivotButton="0" quotePrefix="0" xfId="0"/>
    <xf numFmtId="165" fontId="4" fillId="0" borderId="1" pivotButton="0" quotePrefix="0" xfId="0"/>
    <xf numFmtId="9" fontId="0" fillId="0" borderId="0" pivotButton="0" quotePrefix="0" xfId="0"/>
    <xf numFmtId="1" fontId="4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166" fontId="5" fillId="0" borderId="0" pivotButton="0" quotePrefix="0" xfId="0"/>
    <xf numFmtId="166" fontId="1" fillId="4" borderId="1" pivotButton="0" quotePrefix="0" xfId="0"/>
    <xf numFmtId="165" fontId="1" fillId="4" borderId="0" pivotButton="0" quotePrefix="0" xfId="0"/>
    <xf numFmtId="165" fontId="4" fillId="0" borderId="0" pivotButton="0" quotePrefix="0" xfId="0"/>
    <xf numFmtId="2" fontId="1" fillId="4" borderId="0" pivotButton="0" quotePrefix="0" xfId="0"/>
    <xf numFmtId="2" fontId="4" fillId="3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8" customWidth="1" min="3" max="3"/>
    <col width="37" customWidth="1" min="4" max="4"/>
  </cols>
  <sheetData>
    <row r="1">
      <c r="A1" s="1" t="inlineStr">
        <is>
          <t>TMK IT Solutions LLP — Franchise Financial Executive Dashboard</t>
        </is>
      </c>
    </row>
    <row r="2">
      <c r="A2" s="2" t="inlineStr">
        <is>
          <t>Three-Year Economic Feasibility &amp; Unit Return Summary</t>
        </is>
      </c>
    </row>
    <row r="3"/>
    <row r="4"/>
    <row r="5">
      <c r="A5" s="3" t="inlineStr">
        <is>
          <t>Key Metric</t>
        </is>
      </c>
      <c r="B5" s="3" t="inlineStr">
        <is>
          <t>Formula / Link</t>
        </is>
      </c>
      <c r="C5" s="3" t="inlineStr">
        <is>
          <t>Base Case Value</t>
        </is>
      </c>
      <c r="D5" s="3" t="inlineStr">
        <is>
          <t>Unit / Status</t>
        </is>
      </c>
    </row>
    <row r="6">
      <c r="A6" s="4" t="inlineStr">
        <is>
          <t>Total Franchise Initial Outlay</t>
        </is>
      </c>
      <c r="B6" s="5">
        <f>'Franchise Investment'!C15</f>
        <v/>
      </c>
      <c r="C6" s="6" t="inlineStr">
        <is>
          <t>INR</t>
        </is>
      </c>
      <c r="D6" s="7" t="inlineStr">
        <is>
          <t>Upfront CapEx + Fee + Reserve</t>
        </is>
      </c>
    </row>
    <row r="7">
      <c r="A7" s="4" t="inlineStr">
        <is>
          <t>Monthly Fixed Operating Overhead</t>
        </is>
      </c>
      <c r="B7" s="5">
        <f>Assumptions!C20</f>
        <v/>
      </c>
      <c r="C7" s="6" t="inlineStr">
        <is>
          <t>INR / Month</t>
        </is>
      </c>
      <c r="D7" s="7" t="inlineStr">
        <is>
          <t>Office Rent + 1 Salesperson + Ops</t>
        </is>
      </c>
    </row>
    <row r="8">
      <c r="A8" s="4" t="inlineStr">
        <is>
          <t>Average Monthly Product Break-Even</t>
        </is>
      </c>
      <c r="B8" s="7">
        <f>'Break-Even Analysis'!C8</f>
        <v/>
      </c>
      <c r="C8" s="6" t="inlineStr">
        <is>
          <t>Units / Month</t>
        </is>
      </c>
      <c r="D8" s="7" t="inlineStr">
        <is>
          <t>Sales required to clear fixed OpEx</t>
        </is>
      </c>
    </row>
    <row r="9">
      <c r="A9" s="4" t="inlineStr">
        <is>
          <t>Cumulative 36-Month Net Profit</t>
        </is>
      </c>
      <c r="B9" s="5">
        <f>'Cash Flow'!AN7</f>
        <v/>
      </c>
      <c r="C9" s="6" t="inlineStr">
        <is>
          <t>INR</t>
        </is>
      </c>
      <c r="D9" s="7" t="inlineStr">
        <is>
          <t>Cumulative EBITDA after 3 years</t>
        </is>
      </c>
    </row>
    <row r="10">
      <c r="A10" s="4" t="inlineStr">
        <is>
          <t>Payback Period (Months to Positive Cash Flow)</t>
        </is>
      </c>
      <c r="B10" s="7">
        <f>'Cash Flow'!C14</f>
        <v/>
      </c>
      <c r="C10" s="6" t="inlineStr">
        <is>
          <t>Months</t>
        </is>
      </c>
      <c r="D10" s="7" t="inlineStr">
        <is>
          <t>Capital Recovery Timeline</t>
        </is>
      </c>
    </row>
    <row r="11">
      <c r="A11" s="4" t="inlineStr">
        <is>
          <t>36-Month Return on Investment (ROI)</t>
        </is>
      </c>
      <c r="B11" s="8">
        <f>'Cash Flow'!C15</f>
        <v/>
      </c>
      <c r="C11" s="6" t="inlineStr">
        <is>
          <t>Percentage</t>
        </is>
      </c>
      <c r="D11" s="7" t="inlineStr">
        <is>
          <t>36M Net Profit / Total Investment</t>
        </is>
      </c>
    </row>
    <row r="12">
      <c r="A12" s="4" t="inlineStr">
        <is>
          <t>Customer Annual Renewal Rate Assumption</t>
        </is>
      </c>
      <c r="B12" s="8">
        <f>Assumptions!C27</f>
        <v/>
      </c>
      <c r="C12" s="6" t="inlineStr">
        <is>
          <t>Percentage</t>
        </is>
      </c>
      <c r="D12" s="7" t="inlineStr">
        <is>
          <t>Compounding recurring retention</t>
        </is>
      </c>
    </row>
    <row r="13">
      <c r="A13" s="4" t="inlineStr">
        <is>
          <t>Franchisee Commission Share (License)</t>
        </is>
      </c>
      <c r="B13" s="8">
        <f>Assumptions!C23</f>
        <v/>
      </c>
      <c r="C13" s="6" t="inlineStr">
        <is>
          <t>Percentage</t>
        </is>
      </c>
      <c r="D13" s="7" t="inlineStr">
        <is>
          <t>Contractual sales share</t>
        </is>
      </c>
    </row>
    <row r="14">
      <c r="A14" s="4" t="inlineStr">
        <is>
          <t>Franchisor Royalty / Retained Share</t>
        </is>
      </c>
      <c r="B14" s="8">
        <f>Assumptions!C24</f>
        <v/>
      </c>
      <c r="C14" s="6" t="inlineStr">
        <is>
          <t>Percentage</t>
        </is>
      </c>
      <c r="D14" s="7" t="inlineStr">
        <is>
          <t>Central software &amp; support share</t>
        </is>
      </c>
    </row>
    <row r="15"/>
    <row r="16"/>
    <row r="17">
      <c r="A17" s="9" t="inlineStr">
        <is>
          <t>EXECUTIVE TAKEAWAYS &amp; INVESTMENT THESIS</t>
        </is>
      </c>
    </row>
    <row r="18">
      <c r="A18" s="7" t="inlineStr">
        <is>
          <t>1. Asset-Light Unit Economics: Franchisee investment is primarily working capital and talent, avoiding heavy inventory risk.</t>
        </is>
      </c>
    </row>
    <row r="19">
      <c r="A19" s="7" t="inlineStr">
        <is>
          <t>2. Low Break-Even Hurdle: Franchisee achieves operating break-even by closing fewer than 2 enterprise software deals per month.</t>
        </is>
      </c>
    </row>
    <row r="20">
      <c r="A20" s="7" t="inlineStr">
        <is>
          <t>3. High Renewal Compounding: From Month 13 onwards, recurring annual renewal commissions create high recurring cash flows.</t>
        </is>
      </c>
    </row>
    <row r="21">
      <c r="A21" s="7" t="inlineStr">
        <is>
          <t>4. Mutual Alignment: Centralized franchisor implementation guarantees service quality while franchisee drives localized sales.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40" customWidth="1" min="4" max="4"/>
  </cols>
  <sheetData>
    <row r="1">
      <c r="A1" s="1" t="inlineStr">
        <is>
          <t>Franchise Model Global Commercial Assumptions</t>
        </is>
      </c>
    </row>
    <row r="2">
      <c r="A2" s="2" t="inlineStr">
        <is>
          <t>Edit highlighted cells below to recalculate all linked sheets dynamically.</t>
        </is>
      </c>
    </row>
    <row r="3"/>
    <row r="4">
      <c r="A4" s="9" t="inlineStr">
        <is>
          <t>1. Commercial Franchise Fees &amp; Taxes</t>
        </is>
      </c>
    </row>
    <row r="5">
      <c r="A5" s="10" t="inlineStr">
        <is>
          <t>Parameter</t>
        </is>
      </c>
      <c r="B5" s="10" t="inlineStr">
        <is>
          <t>Code / Unit</t>
        </is>
      </c>
      <c r="C5" s="10" t="inlineStr">
        <is>
          <t>Value</t>
        </is>
      </c>
      <c r="D5" s="10" t="inlineStr">
        <is>
          <t>Notes &amp; Rationale</t>
        </is>
      </c>
    </row>
    <row r="6">
      <c r="A6" s="7" t="inlineStr">
        <is>
          <t>Promotional Franchise Fee per Product (Net)</t>
        </is>
      </c>
      <c r="B6" s="6" t="inlineStr">
        <is>
          <t>F_PROMO</t>
        </is>
      </c>
      <c r="C6" s="11" t="n">
        <v>25000</v>
      </c>
      <c r="D6" s="7" t="inlineStr">
        <is>
          <t>Early-stage promotional onboarding rate</t>
        </is>
      </c>
    </row>
    <row r="7">
      <c r="A7" s="7" t="inlineStr">
        <is>
          <t>Regular Franchise Fee per Product (Net)</t>
        </is>
      </c>
      <c r="B7" s="6" t="inlineStr">
        <is>
          <t>F_REG</t>
        </is>
      </c>
      <c r="C7" s="11" t="n">
        <v>50000</v>
      </c>
      <c r="D7" s="7" t="inlineStr">
        <is>
          <t>Standard commercial franchise fee</t>
        </is>
      </c>
    </row>
    <row r="8">
      <c r="A8" s="7" t="inlineStr">
        <is>
          <t>Active Joining Fee per Product (Selected)</t>
        </is>
      </c>
      <c r="B8" s="6" t="inlineStr">
        <is>
          <t>F_ACTIVE</t>
        </is>
      </c>
      <c r="C8" s="11" t="n">
        <v>25000</v>
      </c>
      <c r="D8" s="7" t="inlineStr">
        <is>
          <t>Current baseline used in models</t>
        </is>
      </c>
    </row>
    <row r="9">
      <c r="A9" s="7" t="inlineStr">
        <is>
          <t>Total Software Products in Bundle</t>
        </is>
      </c>
      <c r="B9" s="6" t="inlineStr">
        <is>
          <t>N_PRODUCTS</t>
        </is>
      </c>
      <c r="C9" s="12" t="n">
        <v>6</v>
      </c>
      <c r="D9" s="7" t="inlineStr">
        <is>
          <t>Portfolio count (ERP, CRM, OMR, etc.)</t>
        </is>
      </c>
    </row>
    <row r="10">
      <c r="A10" s="7" t="inlineStr">
        <is>
          <t>GST / Statutory Tax Rate</t>
        </is>
      </c>
      <c r="B10" s="6" t="inlineStr">
        <is>
          <t>R_TAX</t>
        </is>
      </c>
      <c r="C10" s="13" t="n">
        <v>0.18</v>
      </c>
      <c r="D10" s="7" t="inlineStr">
        <is>
          <t>Standard Indian Goods &amp; Services Tax</t>
        </is>
      </c>
    </row>
    <row r="11"/>
    <row r="12">
      <c r="A12" s="9" t="inlineStr">
        <is>
          <t>2. Franchisee Monthly Operating Expenses (OpEx)</t>
        </is>
      </c>
    </row>
    <row r="13">
      <c r="A13" s="10" t="inlineStr">
        <is>
          <t>Parameter</t>
        </is>
      </c>
      <c r="B13" s="10" t="inlineStr">
        <is>
          <t>Code / Unit</t>
        </is>
      </c>
      <c r="C13" s="10" t="inlineStr">
        <is>
          <t>Value</t>
        </is>
      </c>
      <c r="D13" s="10" t="inlineStr">
        <is>
          <t>Notes &amp; Rationale</t>
        </is>
      </c>
    </row>
    <row r="14">
      <c r="A14" s="7" t="inlineStr">
        <is>
          <t>Dedicated Commercial Office Rent</t>
        </is>
      </c>
      <c r="B14" s="6" t="inlineStr">
        <is>
          <t>OPEX_RENT</t>
        </is>
      </c>
      <c r="C14" s="11" t="n">
        <v>12000</v>
      </c>
      <c r="D14" s="7" t="inlineStr">
        <is>
          <t>Tier-2/3 commercial office space</t>
        </is>
      </c>
    </row>
    <row r="15">
      <c r="A15" s="7" t="inlineStr">
        <is>
          <t>Salesperson Base Salary (1 FTE)</t>
        </is>
      </c>
      <c r="B15" s="6" t="inlineStr">
        <is>
          <t>OPEX_SALARY</t>
        </is>
      </c>
      <c r="C15" s="11" t="n">
        <v>18000</v>
      </c>
      <c r="D15" s="7" t="inlineStr">
        <is>
          <t>Dedicated field sales executive</t>
        </is>
      </c>
    </row>
    <row r="16">
      <c r="A16" s="7" t="inlineStr">
        <is>
          <t>Utilities, High-Speed Internet &amp; Telecom</t>
        </is>
      </c>
      <c r="B16" s="6" t="inlineStr">
        <is>
          <t>OPEX_UTIL</t>
        </is>
      </c>
      <c r="C16" s="11" t="n">
        <v>3000</v>
      </c>
      <c r="D16" s="7" t="inlineStr">
        <is>
          <t>Office utilities and communications</t>
        </is>
      </c>
    </row>
    <row r="17">
      <c r="A17" s="7" t="inlineStr">
        <is>
          <t>Local Travel &amp; Demo Expenses</t>
        </is>
      </c>
      <c r="B17" s="6" t="inlineStr">
        <is>
          <t>OPEX_TRAVEL</t>
        </is>
      </c>
      <c r="C17" s="11" t="n">
        <v>3500</v>
      </c>
      <c r="D17" s="7" t="inlineStr">
        <is>
          <t>Local client site travel and client meetings</t>
        </is>
      </c>
    </row>
    <row r="18">
      <c r="A18" s="7" t="inlineStr">
        <is>
          <t>Office Admin &amp; Accounting Retainer</t>
        </is>
      </c>
      <c r="B18" s="6" t="inlineStr">
        <is>
          <t>OPEX_ADMIN</t>
        </is>
      </c>
      <c r="C18" s="11" t="n">
        <v>1500</v>
      </c>
      <c r="D18" s="7" t="inlineStr">
        <is>
          <t>Local compliance and book-keeping</t>
        </is>
      </c>
    </row>
    <row r="19">
      <c r="A19" s="7" t="inlineStr">
        <is>
          <t>Total Fixed Monthly Overhead</t>
        </is>
      </c>
      <c r="B19" s="6" t="inlineStr">
        <is>
          <t>OPEX_TOTAL</t>
        </is>
      </c>
      <c r="C19" s="11">
        <f>SUM(C15:C19)</f>
        <v/>
      </c>
      <c r="D19" s="7" t="inlineStr">
        <is>
          <t>Formula: Sum of monthly fixed costs</t>
        </is>
      </c>
    </row>
    <row r="20"/>
    <row r="21">
      <c r="A21" s="9" t="inlineStr">
        <is>
          <t>3. Revenue Sharing Ratios (Distributable Net Revenue)</t>
        </is>
      </c>
    </row>
    <row r="22">
      <c r="A22" s="10" t="inlineStr">
        <is>
          <t>Parameter</t>
        </is>
      </c>
      <c r="B22" s="10" t="inlineStr">
        <is>
          <t>Code / Unit</t>
        </is>
      </c>
      <c r="C22" s="10" t="inlineStr">
        <is>
          <t>Value</t>
        </is>
      </c>
      <c r="D22" s="10" t="inlineStr">
        <is>
          <t>Notes &amp; Rationale</t>
        </is>
      </c>
    </row>
    <row r="23">
      <c r="A23" s="7" t="inlineStr">
        <is>
          <t>Franchisee Share — Software License</t>
        </is>
      </c>
      <c r="B23" s="6" t="inlineStr">
        <is>
          <t>SPLIT_FEE_LIC</t>
        </is>
      </c>
      <c r="C23" s="13" t="n">
        <v>0.4</v>
      </c>
      <c r="D23" s="7" t="inlineStr">
        <is>
          <t>40% retained by Franchisee</t>
        </is>
      </c>
    </row>
    <row r="24">
      <c r="A24" s="7" t="inlineStr">
        <is>
          <t>Franchisor Share — Software License</t>
        </is>
      </c>
      <c r="B24" s="6" t="inlineStr">
        <is>
          <t>SPLIT_SOR_LIC</t>
        </is>
      </c>
      <c r="C24" s="13">
        <f>1-C23</f>
        <v/>
      </c>
      <c r="D24" s="7" t="inlineStr">
        <is>
          <t>60% retained by Franchisor</t>
        </is>
      </c>
    </row>
    <row r="25">
      <c r="A25" s="7" t="inlineStr">
        <is>
          <t>Franchisee Share — Annual Renewal</t>
        </is>
      </c>
      <c r="B25" s="6" t="inlineStr">
        <is>
          <t>SPLIT_FEE_REN</t>
        </is>
      </c>
      <c r="C25" s="13" t="n">
        <v>0.4</v>
      </c>
      <c r="D25" s="7" t="inlineStr">
        <is>
          <t>40% renewal commission to Franchisee</t>
        </is>
      </c>
    </row>
    <row r="26">
      <c r="A26" s="7" t="inlineStr">
        <is>
          <t>Franchisor Share — Annual Renewal</t>
        </is>
      </c>
      <c r="B26" s="6" t="inlineStr">
        <is>
          <t>SPLIT_SOR_REN</t>
        </is>
      </c>
      <c r="C26" s="13">
        <f>1-C25</f>
        <v/>
      </c>
      <c r="D26" s="7" t="inlineStr">
        <is>
          <t>60% central renewal support to Franchisor</t>
        </is>
      </c>
    </row>
    <row r="27">
      <c r="A27" s="7" t="inlineStr">
        <is>
          <t>Annual Customer Subscription Renewal Rate</t>
        </is>
      </c>
      <c r="B27" s="6" t="inlineStr">
        <is>
          <t>RATE_RENEWAL</t>
        </is>
      </c>
      <c r="C27" s="13" t="n">
        <v>0.85</v>
      </c>
      <c r="D27" s="7" t="inlineStr">
        <is>
          <t>85% renewal assumption (15% churn)</t>
        </is>
      </c>
    </row>
    <row r="28">
      <c r="A28" s="7" t="inlineStr">
        <is>
          <t>Franchisee Share — Implementation Fee</t>
        </is>
      </c>
      <c r="B28" s="6" t="inlineStr">
        <is>
          <t>SPLIT_FEE_IMP</t>
        </is>
      </c>
      <c r="C28" s="13" t="n">
        <v>0.2</v>
      </c>
      <c r="D28" s="7" t="inlineStr">
        <is>
          <t>20% coordination fee to Franchisee</t>
        </is>
      </c>
    </row>
    <row r="29">
      <c r="A29" s="7" t="inlineStr">
        <is>
          <t>Franchisor Share — Implementation Fee</t>
        </is>
      </c>
      <c r="B29" s="6" t="inlineStr">
        <is>
          <t>SPLIT_SOR_IMP</t>
        </is>
      </c>
      <c r="C29" s="13">
        <f>1-C28</f>
        <v/>
      </c>
      <c r="D29" s="7" t="inlineStr">
        <is>
          <t>80% technical delivery to Franchisor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7" customWidth="1" min="3" max="3"/>
    <col width="18" customWidth="1" min="4" max="4"/>
    <col width="20" customWidth="1" min="5" max="5"/>
    <col width="12" customWidth="1" min="6" max="6"/>
    <col width="17" customWidth="1" min="7" max="7"/>
    <col width="24" customWidth="1" min="8" max="8"/>
    <col width="25" customWidth="1" min="9" max="9"/>
    <col width="23" customWidth="1" min="10" max="10"/>
    <col width="18" customWidth="1" min="11" max="11"/>
  </cols>
  <sheetData>
    <row r="1">
      <c r="A1" s="1" t="inlineStr">
        <is>
          <t>Software Product Portfolio &amp; Commercial Pricing Structure</t>
        </is>
      </c>
    </row>
    <row r="2">
      <c r="A2" s="2" t="inlineStr">
        <is>
          <t>Net prices exclude 18% GST. Commissions apply to net revenues.</t>
        </is>
      </c>
    </row>
    <row r="3"/>
    <row r="4"/>
    <row r="5">
      <c r="A5" s="3" t="inlineStr">
        <is>
          <t>Product ID</t>
        </is>
      </c>
      <c r="B5" s="3" t="inlineStr">
        <is>
          <t>Product Name</t>
        </is>
      </c>
      <c r="C5" s="3" t="inlineStr">
        <is>
          <t>Category</t>
        </is>
      </c>
      <c r="D5" s="3" t="inlineStr">
        <is>
          <t>Delivery Model</t>
        </is>
      </c>
      <c r="E5" s="3" t="inlineStr">
        <is>
          <t>Net Selling Price</t>
        </is>
      </c>
      <c r="F5" s="3" t="inlineStr">
        <is>
          <t>GST (18%)</t>
        </is>
      </c>
      <c r="G5" s="3" t="inlineStr">
        <is>
          <t>Gross Invoiced</t>
        </is>
      </c>
      <c r="H5" s="3" t="inlineStr">
        <is>
          <t>Franchisee Comm (40%)</t>
        </is>
      </c>
      <c r="I5" s="3" t="inlineStr">
        <is>
          <t>Franchisor Share (60%)</t>
        </is>
      </c>
      <c r="J5" s="3" t="inlineStr">
        <is>
          <t>Annual Renewal (Net)</t>
        </is>
      </c>
      <c r="K5" s="3" t="inlineStr">
        <is>
          <t>Impl. Fee (Net)</t>
        </is>
      </c>
    </row>
    <row r="6">
      <c r="A6" s="4" t="inlineStr">
        <is>
          <t>PRD-01</t>
        </is>
      </c>
      <c r="B6" s="4" t="inlineStr">
        <is>
          <t>School / College ERP</t>
        </is>
      </c>
      <c r="C6" s="7" t="inlineStr">
        <is>
          <t>Education IT</t>
        </is>
      </c>
      <c r="D6" s="7" t="inlineStr">
        <is>
          <t>SaaS / Cloud</t>
        </is>
      </c>
      <c r="E6" s="14" t="n">
        <v>60000</v>
      </c>
      <c r="F6" s="15">
        <f>E6*Assumptions!C8</f>
        <v/>
      </c>
      <c r="G6" s="14">
        <f>E6+F6</f>
        <v/>
      </c>
      <c r="H6" s="14">
        <f>E6*Assumptions!C23</f>
        <v/>
      </c>
      <c r="I6" s="15">
        <f>E6*Assumptions!C24</f>
        <v/>
      </c>
      <c r="J6" s="15" t="n">
        <v>15000</v>
      </c>
      <c r="K6" s="15" t="n">
        <v>10000</v>
      </c>
    </row>
    <row r="7">
      <c r="A7" s="4" t="inlineStr">
        <is>
          <t>PRD-02</t>
        </is>
      </c>
      <c r="B7" s="4" t="inlineStr">
        <is>
          <t>Invoicing App + Web</t>
        </is>
      </c>
      <c r="C7" s="7" t="inlineStr">
        <is>
          <t>FinTech / SME</t>
        </is>
      </c>
      <c r="D7" s="7" t="inlineStr">
        <is>
          <t>SaaS / Mobile</t>
        </is>
      </c>
      <c r="E7" s="14" t="n">
        <v>12000</v>
      </c>
      <c r="F7" s="15">
        <f>E7*Assumptions!C8</f>
        <v/>
      </c>
      <c r="G7" s="14">
        <f>E7+F7</f>
        <v/>
      </c>
      <c r="H7" s="14">
        <f>E7*Assumptions!C23</f>
        <v/>
      </c>
      <c r="I7" s="15">
        <f>E7*Assumptions!C24</f>
        <v/>
      </c>
      <c r="J7" s="15" t="n">
        <v>3600</v>
      </c>
      <c r="K7" s="15" t="n">
        <v>2000</v>
      </c>
    </row>
    <row r="8">
      <c r="A8" s="4" t="inlineStr">
        <is>
          <t>PRD-03</t>
        </is>
      </c>
      <c r="B8" s="4" t="inlineStr">
        <is>
          <t>OMR Software</t>
        </is>
      </c>
      <c r="C8" s="7" t="inlineStr">
        <is>
          <t>Assessment IT</t>
        </is>
      </c>
      <c r="D8" s="7" t="inlineStr">
        <is>
          <t>Desktop / Cloud</t>
        </is>
      </c>
      <c r="E8" s="14" t="n">
        <v>25000</v>
      </c>
      <c r="F8" s="15">
        <f>E8*Assumptions!C8</f>
        <v/>
      </c>
      <c r="G8" s="14">
        <f>E8+F8</f>
        <v/>
      </c>
      <c r="H8" s="14">
        <f>E8*Assumptions!C23</f>
        <v/>
      </c>
      <c r="I8" s="15">
        <f>E8*Assumptions!C24</f>
        <v/>
      </c>
      <c r="J8" s="15" t="n">
        <v>6000</v>
      </c>
      <c r="K8" s="15" t="n">
        <v>3000</v>
      </c>
    </row>
    <row r="9">
      <c r="A9" s="4" t="inlineStr">
        <is>
          <t>PRD-04</t>
        </is>
      </c>
      <c r="B9" s="4" t="inlineStr">
        <is>
          <t>Property Management ERP</t>
        </is>
      </c>
      <c r="C9" s="7" t="inlineStr">
        <is>
          <t>Real Estate IT</t>
        </is>
      </c>
      <c r="D9" s="7" t="inlineStr">
        <is>
          <t>SaaS / Cloud</t>
        </is>
      </c>
      <c r="E9" s="14" t="n">
        <v>75000</v>
      </c>
      <c r="F9" s="15">
        <f>E9*Assumptions!C8</f>
        <v/>
      </c>
      <c r="G9" s="14">
        <f>E9+F9</f>
        <v/>
      </c>
      <c r="H9" s="14">
        <f>E9*Assumptions!C23</f>
        <v/>
      </c>
      <c r="I9" s="15">
        <f>E9*Assumptions!C24</f>
        <v/>
      </c>
      <c r="J9" s="15" t="n">
        <v>18000</v>
      </c>
      <c r="K9" s="15" t="n">
        <v>12000</v>
      </c>
    </row>
    <row r="10">
      <c r="A10" s="4" t="inlineStr">
        <is>
          <t>PRD-05</t>
        </is>
      </c>
      <c r="B10" s="4" t="inlineStr">
        <is>
          <t>DevOps Automation Platform</t>
        </is>
      </c>
      <c r="C10" s="7" t="inlineStr">
        <is>
          <t>Developer IT</t>
        </is>
      </c>
      <c r="D10" s="7" t="inlineStr">
        <is>
          <t>Cloud / Hybrid</t>
        </is>
      </c>
      <c r="E10" s="14" t="n">
        <v>90000</v>
      </c>
      <c r="F10" s="15">
        <f>E10*Assumptions!C8</f>
        <v/>
      </c>
      <c r="G10" s="14">
        <f>E10+F10</f>
        <v/>
      </c>
      <c r="H10" s="14">
        <f>E10*Assumptions!C23</f>
        <v/>
      </c>
      <c r="I10" s="15">
        <f>E10*Assumptions!C24</f>
        <v/>
      </c>
      <c r="J10" s="15" t="n">
        <v>22000</v>
      </c>
      <c r="K10" s="15" t="n">
        <v>15000</v>
      </c>
    </row>
    <row r="11">
      <c r="A11" s="4" t="inlineStr">
        <is>
          <t>PRD-06</t>
        </is>
      </c>
      <c r="B11" s="4" t="inlineStr">
        <is>
          <t>Sales CRM Platform</t>
        </is>
      </c>
      <c r="C11" s="7" t="inlineStr">
        <is>
          <t>Commercial IT</t>
        </is>
      </c>
      <c r="D11" s="7" t="inlineStr">
        <is>
          <t>SaaS / Mobile</t>
        </is>
      </c>
      <c r="E11" s="14" t="n">
        <v>35000</v>
      </c>
      <c r="F11" s="15">
        <f>E11*Assumptions!C8</f>
        <v/>
      </c>
      <c r="G11" s="14">
        <f>E11+F11</f>
        <v/>
      </c>
      <c r="H11" s="14">
        <f>E11*Assumptions!C23</f>
        <v/>
      </c>
      <c r="I11" s="15">
        <f>E11*Assumptions!C24</f>
        <v/>
      </c>
      <c r="J11" s="15" t="n">
        <v>8500</v>
      </c>
      <c r="K11" s="15" t="n">
        <v>5000</v>
      </c>
    </row>
    <row r="12">
      <c r="A12" s="16" t="n"/>
      <c r="B12" s="17" t="inlineStr">
        <is>
          <t>Portfolio Average / Total</t>
        </is>
      </c>
      <c r="C12" s="16" t="n"/>
      <c r="D12" s="16" t="n"/>
      <c r="E12" s="18">
        <f>AVERAGE(E6:E11)</f>
        <v/>
      </c>
      <c r="F12" s="16" t="n"/>
      <c r="G12" s="16" t="n"/>
      <c r="H12" s="18">
        <f>AVERAGE(H6:H11)</f>
        <v/>
      </c>
      <c r="I12" s="19">
        <f>AVERAGE(I6:I11)</f>
        <v/>
      </c>
      <c r="J12" s="19">
        <f>AVERAGE(J6:J11)</f>
        <v/>
      </c>
      <c r="K12" s="1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5" customWidth="1" min="3" max="3"/>
    <col width="13" customWidth="1" min="4" max="4"/>
    <col width="35" customWidth="1" min="5" max="5"/>
  </cols>
  <sheetData>
    <row r="1">
      <c r="A1" s="1" t="inlineStr">
        <is>
          <t>Franchisee Capital Requirements &amp; Initial Outlay</t>
        </is>
      </c>
    </row>
    <row r="2">
      <c r="A2" s="2" t="inlineStr">
        <is>
          <t>Detailed breakdown of joining fees, physical office setup, and working capital runway.</t>
        </is>
      </c>
    </row>
    <row r="3"/>
    <row r="4"/>
    <row r="5">
      <c r="A5" s="3" t="inlineStr">
        <is>
          <t>Investment Category</t>
        </is>
      </c>
      <c r="B5" s="3" t="inlineStr">
        <is>
          <t>Item Description</t>
        </is>
      </c>
      <c r="C5" s="3" t="inlineStr">
        <is>
          <t>Amount (INR)</t>
        </is>
      </c>
      <c r="D5" s="3" t="inlineStr">
        <is>
          <t>% of Total</t>
        </is>
      </c>
      <c r="E5" s="3" t="inlineStr">
        <is>
          <t>Notes</t>
        </is>
      </c>
    </row>
    <row r="6">
      <c r="A6" s="7" t="inlineStr">
        <is>
          <t>Franchise License Fee</t>
        </is>
      </c>
      <c r="B6" s="7" t="inlineStr">
        <is>
          <t>Promotional Joining Fee (6 Products @ ₹25k)</t>
        </is>
      </c>
      <c r="C6" s="14">
        <f>Assumptions!C6*Assumptions!C7</f>
        <v/>
      </c>
      <c r="D6" s="20">
        <f>C6/$C$15</f>
        <v/>
      </c>
      <c r="E6" s="6" t="inlineStr">
        <is>
          <t>Paid to franchisor upon signing</t>
        </is>
      </c>
    </row>
    <row r="7">
      <c r="A7" s="7" t="inlineStr">
        <is>
          <t>Office Infrastructure</t>
        </is>
      </c>
      <c r="B7" s="7" t="inlineStr">
        <is>
          <t>Office Rental Advance / Deposit (3 Months)</t>
        </is>
      </c>
      <c r="C7" s="14" t="n">
        <v>36000</v>
      </c>
      <c r="D7" s="20">
        <f>C7/$C$15</f>
        <v/>
      </c>
      <c r="E7" s="6" t="inlineStr">
        <is>
          <t>Refundable security deposit</t>
        </is>
      </c>
    </row>
    <row r="8">
      <c r="A8" s="7" t="inlineStr">
        <is>
          <t>Office Infrastructure</t>
        </is>
      </c>
      <c r="B8" s="7" t="inlineStr">
        <is>
          <t>Interior, Branding, Signage &amp; Office Furnishings</t>
        </is>
      </c>
      <c r="C8" s="14" t="n">
        <v>35000</v>
      </c>
      <c r="D8" s="20">
        <f>C8/$C$15</f>
        <v/>
      </c>
      <c r="E8" s="6" t="inlineStr">
        <is>
          <t>Signboard, workstations, chairs</t>
        </is>
      </c>
    </row>
    <row r="9">
      <c r="A9" s="7" t="inlineStr">
        <is>
          <t>Office Infrastructure</t>
        </is>
      </c>
      <c r="B9" s="7" t="inlineStr">
        <is>
          <t>IT Hardware (Laptops/PC, Printer, Networking)</t>
        </is>
      </c>
      <c r="C9" s="14" t="n">
        <v>45000</v>
      </c>
      <c r="D9" s="20">
        <f>C9/$C$15</f>
        <v/>
      </c>
      <c r="E9" s="6" t="inlineStr">
        <is>
          <t>Computer setup for salesperson &amp; office</t>
        </is>
      </c>
    </row>
    <row r="10">
      <c r="A10" s="7" t="inlineStr">
        <is>
          <t>Office Infrastructure</t>
        </is>
      </c>
      <c r="B10" s="7" t="inlineStr">
        <is>
          <t>Miscellaneous Setup &amp; Documentation</t>
        </is>
      </c>
      <c r="C10" s="14" t="n">
        <v>10000</v>
      </c>
      <c r="D10" s="20">
        <f>C10/$C$15</f>
        <v/>
      </c>
      <c r="E10" s="6" t="inlineStr">
        <is>
          <t>Trade license, initial stationery</t>
        </is>
      </c>
    </row>
    <row r="11">
      <c r="A11" s="7" t="inlineStr">
        <is>
          <t>Working Capital Reserve</t>
        </is>
      </c>
      <c r="B11" s="7" t="inlineStr">
        <is>
          <t>Mandatory Operating Runway (4 Months Fixed OpEx)</t>
        </is>
      </c>
      <c r="C11" s="14">
        <f>Assumptions!C20*4</f>
        <v/>
      </c>
      <c r="D11" s="20">
        <f>C11/$C$15</f>
        <v/>
      </c>
      <c r="E11" s="6" t="inlineStr">
        <is>
          <t>Solvency reserve covering rent &amp; salary</t>
        </is>
      </c>
    </row>
    <row r="12"/>
    <row r="13"/>
    <row r="14"/>
    <row r="15">
      <c r="A15" s="17" t="inlineStr">
        <is>
          <t>TOTAL INITIAL INVESTMENT</t>
        </is>
      </c>
      <c r="B15" s="21" t="inlineStr">
        <is>
          <t>All-Inclusive Capital Outlay Required</t>
        </is>
      </c>
      <c r="C15" s="22">
        <f>SUM(C6:C11)</f>
        <v/>
      </c>
      <c r="D15" s="23" t="n">
        <v>1</v>
      </c>
      <c r="E15" s="1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Monthly Unit Sales &amp; Renewals Projection (36-Month Horizon)</t>
        </is>
      </c>
    </row>
    <row r="2">
      <c r="A2" s="2" t="inlineStr">
        <is>
          <t>Base Scenario: Sales velocity ramps up from Month 1 to Month 4, stabilizing at 3 units/month.</t>
        </is>
      </c>
    </row>
    <row r="3"/>
    <row r="4"/>
    <row r="5">
      <c r="A5" s="10" t="inlineStr">
        <is>
          <t>Metric / Month</t>
        </is>
      </c>
      <c r="B5" s="3" t="inlineStr">
        <is>
          <t>M01</t>
        </is>
      </c>
      <c r="C5" s="3" t="inlineStr">
        <is>
          <t>M02</t>
        </is>
      </c>
      <c r="D5" s="3" t="inlineStr">
        <is>
          <t>M03</t>
        </is>
      </c>
      <c r="E5" s="3" t="inlineStr">
        <is>
          <t>M04</t>
        </is>
      </c>
      <c r="F5" s="3" t="inlineStr">
        <is>
          <t>M05</t>
        </is>
      </c>
      <c r="G5" s="3" t="inlineStr">
        <is>
          <t>M06</t>
        </is>
      </c>
      <c r="H5" s="3" t="inlineStr">
        <is>
          <t>M07</t>
        </is>
      </c>
      <c r="I5" s="3" t="inlineStr">
        <is>
          <t>M08</t>
        </is>
      </c>
      <c r="J5" s="3" t="inlineStr">
        <is>
          <t>M09</t>
        </is>
      </c>
      <c r="K5" s="3" t="inlineStr">
        <is>
          <t>M10</t>
        </is>
      </c>
      <c r="L5" s="3" t="inlineStr">
        <is>
          <t>M11</t>
        </is>
      </c>
      <c r="M5" s="3" t="inlineStr">
        <is>
          <t>M12</t>
        </is>
      </c>
      <c r="N5" s="3" t="inlineStr">
        <is>
          <t>M13</t>
        </is>
      </c>
      <c r="O5" s="3" t="inlineStr">
        <is>
          <t>M14</t>
        </is>
      </c>
      <c r="P5" s="3" t="inlineStr">
        <is>
          <t>M15</t>
        </is>
      </c>
      <c r="Q5" s="3" t="inlineStr">
        <is>
          <t>M16</t>
        </is>
      </c>
      <c r="R5" s="3" t="inlineStr">
        <is>
          <t>M17</t>
        </is>
      </c>
      <c r="S5" s="3" t="inlineStr">
        <is>
          <t>M18</t>
        </is>
      </c>
      <c r="T5" s="3" t="inlineStr">
        <is>
          <t>M19</t>
        </is>
      </c>
      <c r="U5" s="3" t="inlineStr">
        <is>
          <t>M20</t>
        </is>
      </c>
      <c r="V5" s="3" t="inlineStr">
        <is>
          <t>M21</t>
        </is>
      </c>
      <c r="W5" s="3" t="inlineStr">
        <is>
          <t>M22</t>
        </is>
      </c>
      <c r="X5" s="3" t="inlineStr">
        <is>
          <t>M23</t>
        </is>
      </c>
      <c r="Y5" s="3" t="inlineStr">
        <is>
          <t>M24</t>
        </is>
      </c>
      <c r="Z5" s="3" t="inlineStr">
        <is>
          <t>M25</t>
        </is>
      </c>
      <c r="AA5" s="3" t="inlineStr">
        <is>
          <t>M26</t>
        </is>
      </c>
      <c r="AB5" s="3" t="inlineStr">
        <is>
          <t>M27</t>
        </is>
      </c>
      <c r="AC5" s="3" t="inlineStr">
        <is>
          <t>M28</t>
        </is>
      </c>
      <c r="AD5" s="3" t="inlineStr">
        <is>
          <t>M29</t>
        </is>
      </c>
      <c r="AE5" s="3" t="inlineStr">
        <is>
          <t>M30</t>
        </is>
      </c>
      <c r="AF5" s="3" t="inlineStr">
        <is>
          <t>M31</t>
        </is>
      </c>
      <c r="AG5" s="3" t="inlineStr">
        <is>
          <t>M32</t>
        </is>
      </c>
      <c r="AH5" s="3" t="inlineStr">
        <is>
          <t>M33</t>
        </is>
      </c>
      <c r="AI5" s="3" t="inlineStr">
        <is>
          <t>M34</t>
        </is>
      </c>
      <c r="AJ5" s="3" t="inlineStr">
        <is>
          <t>M35</t>
        </is>
      </c>
      <c r="AK5" s="3" t="inlineStr">
        <is>
          <t>M36</t>
        </is>
      </c>
    </row>
    <row r="6">
      <c r="A6" s="4" t="inlineStr">
        <is>
          <t>Ramp Factor</t>
        </is>
      </c>
      <c r="B6" s="24" t="n">
        <v>0.33</v>
      </c>
      <c r="C6" s="24" t="n">
        <v>0.66</v>
      </c>
      <c r="D6" s="24" t="n">
        <v>1</v>
      </c>
      <c r="E6" s="24" t="n">
        <v>1</v>
      </c>
      <c r="F6" s="24" t="n">
        <v>1</v>
      </c>
      <c r="G6" s="24" t="n">
        <v>1</v>
      </c>
      <c r="H6" s="24" t="n">
        <v>1</v>
      </c>
      <c r="I6" s="24" t="n">
        <v>1</v>
      </c>
      <c r="J6" s="24" t="n">
        <v>1</v>
      </c>
      <c r="K6" s="24" t="n">
        <v>1</v>
      </c>
      <c r="L6" s="24" t="n">
        <v>1</v>
      </c>
      <c r="M6" s="24" t="n">
        <v>1</v>
      </c>
      <c r="N6" s="24" t="n">
        <v>1</v>
      </c>
      <c r="O6" s="24" t="n">
        <v>1</v>
      </c>
      <c r="P6" s="24" t="n">
        <v>1</v>
      </c>
      <c r="Q6" s="24" t="n">
        <v>1</v>
      </c>
      <c r="R6" s="24" t="n">
        <v>1</v>
      </c>
      <c r="S6" s="24" t="n">
        <v>1</v>
      </c>
      <c r="T6" s="24" t="n">
        <v>1</v>
      </c>
      <c r="U6" s="24" t="n">
        <v>1</v>
      </c>
      <c r="V6" s="24" t="n">
        <v>1</v>
      </c>
      <c r="W6" s="24" t="n">
        <v>1</v>
      </c>
      <c r="X6" s="24" t="n">
        <v>1</v>
      </c>
      <c r="Y6" s="24" t="n">
        <v>1</v>
      </c>
      <c r="Z6" s="24" t="n">
        <v>1</v>
      </c>
      <c r="AA6" s="24" t="n">
        <v>1</v>
      </c>
      <c r="AB6" s="24" t="n">
        <v>1</v>
      </c>
      <c r="AC6" s="24" t="n">
        <v>1</v>
      </c>
      <c r="AD6" s="24" t="n">
        <v>1</v>
      </c>
      <c r="AE6" s="24" t="n">
        <v>1</v>
      </c>
      <c r="AF6" s="24" t="n">
        <v>1</v>
      </c>
      <c r="AG6" s="24" t="n">
        <v>1</v>
      </c>
      <c r="AH6" s="24" t="n">
        <v>1</v>
      </c>
      <c r="AI6" s="24" t="n">
        <v>1</v>
      </c>
      <c r="AJ6" s="24" t="n">
        <v>1</v>
      </c>
      <c r="AK6" s="24" t="n">
        <v>1</v>
      </c>
    </row>
    <row r="7">
      <c r="A7" s="4" t="inlineStr">
        <is>
          <t>New Units Sold</t>
        </is>
      </c>
      <c r="B7" s="25">
        <f>ROUND(3*B6, 0)</f>
        <v/>
      </c>
      <c r="C7" s="25">
        <f>ROUND(3*C6, 0)</f>
        <v/>
      </c>
      <c r="D7" s="25">
        <f>ROUND(3*D6, 0)</f>
        <v/>
      </c>
      <c r="E7" s="25">
        <f>ROUND(3*E6, 0)</f>
        <v/>
      </c>
      <c r="F7" s="25">
        <f>ROUND(3*F6, 0)</f>
        <v/>
      </c>
      <c r="G7" s="25">
        <f>ROUND(3*G6, 0)</f>
        <v/>
      </c>
      <c r="H7" s="25">
        <f>ROUND(3*H6, 0)</f>
        <v/>
      </c>
      <c r="I7" s="25">
        <f>ROUND(3*I6, 0)</f>
        <v/>
      </c>
      <c r="J7" s="25">
        <f>ROUND(3*J6, 0)</f>
        <v/>
      </c>
      <c r="K7" s="25">
        <f>ROUND(3*K6, 0)</f>
        <v/>
      </c>
      <c r="L7" s="25">
        <f>ROUND(3*L6, 0)</f>
        <v/>
      </c>
      <c r="M7" s="25">
        <f>ROUND(3*M6, 0)</f>
        <v/>
      </c>
      <c r="N7" s="25">
        <f>ROUND(3*N6, 0)</f>
        <v/>
      </c>
      <c r="O7" s="25">
        <f>ROUND(3*O6, 0)</f>
        <v/>
      </c>
      <c r="P7" s="25">
        <f>ROUND(3*P6, 0)</f>
        <v/>
      </c>
      <c r="Q7" s="25">
        <f>ROUND(3*Q6, 0)</f>
        <v/>
      </c>
      <c r="R7" s="25">
        <f>ROUND(3*R6, 0)</f>
        <v/>
      </c>
      <c r="S7" s="25">
        <f>ROUND(3*S6, 0)</f>
        <v/>
      </c>
      <c r="T7" s="25">
        <f>ROUND(3*T6, 0)</f>
        <v/>
      </c>
      <c r="U7" s="25">
        <f>ROUND(3*U6, 0)</f>
        <v/>
      </c>
      <c r="V7" s="25">
        <f>ROUND(3*V6, 0)</f>
        <v/>
      </c>
      <c r="W7" s="25">
        <f>ROUND(3*W6, 0)</f>
        <v/>
      </c>
      <c r="X7" s="25">
        <f>ROUND(3*X6, 0)</f>
        <v/>
      </c>
      <c r="Y7" s="25">
        <f>ROUND(3*Y6, 0)</f>
        <v/>
      </c>
      <c r="Z7" s="25">
        <f>ROUND(3*Z6, 0)</f>
        <v/>
      </c>
      <c r="AA7" s="25">
        <f>ROUND(3*AA6, 0)</f>
        <v/>
      </c>
      <c r="AB7" s="25">
        <f>ROUND(3*AB6, 0)</f>
        <v/>
      </c>
      <c r="AC7" s="25">
        <f>ROUND(3*AC6, 0)</f>
        <v/>
      </c>
      <c r="AD7" s="25">
        <f>ROUND(3*AD6, 0)</f>
        <v/>
      </c>
      <c r="AE7" s="25">
        <f>ROUND(3*AE6, 0)</f>
        <v/>
      </c>
      <c r="AF7" s="25">
        <f>ROUND(3*AF6, 0)</f>
        <v/>
      </c>
      <c r="AG7" s="25">
        <f>ROUND(3*AG6, 0)</f>
        <v/>
      </c>
      <c r="AH7" s="25">
        <f>ROUND(3*AH6, 0)</f>
        <v/>
      </c>
      <c r="AI7" s="25">
        <f>ROUND(3*AI6, 0)</f>
        <v/>
      </c>
      <c r="AJ7" s="25">
        <f>ROUND(3*AJ6, 0)</f>
        <v/>
      </c>
      <c r="AK7" s="25">
        <f>ROUND(3*AK6, 0)</f>
        <v/>
      </c>
    </row>
    <row r="8">
      <c r="A8" s="4" t="inlineStr">
        <is>
          <t>Cumulative Active Customers</t>
        </is>
      </c>
      <c r="B8" s="26">
        <f>B7</f>
        <v/>
      </c>
      <c r="C8" s="26">
        <f>B8+C7</f>
        <v/>
      </c>
      <c r="D8" s="26">
        <f>C8+D7</f>
        <v/>
      </c>
      <c r="E8" s="26">
        <f>D8+E7</f>
        <v/>
      </c>
      <c r="F8" s="26">
        <f>E8+F7</f>
        <v/>
      </c>
      <c r="G8" s="26">
        <f>F8+G7</f>
        <v/>
      </c>
      <c r="H8" s="26">
        <f>G8+H7</f>
        <v/>
      </c>
      <c r="I8" s="26">
        <f>H8+I7</f>
        <v/>
      </c>
      <c r="J8" s="26">
        <f>I8+J7</f>
        <v/>
      </c>
      <c r="K8" s="26">
        <f>J8+K7</f>
        <v/>
      </c>
      <c r="L8" s="26">
        <f>K8+L7</f>
        <v/>
      </c>
      <c r="M8" s="26">
        <f>L8+M7</f>
        <v/>
      </c>
      <c r="N8" s="26">
        <f>M8+N7</f>
        <v/>
      </c>
      <c r="O8" s="26">
        <f>N8+O7</f>
        <v/>
      </c>
      <c r="P8" s="26">
        <f>O8+P7</f>
        <v/>
      </c>
      <c r="Q8" s="26">
        <f>P8+Q7</f>
        <v/>
      </c>
      <c r="R8" s="26">
        <f>Q8+R7</f>
        <v/>
      </c>
      <c r="S8" s="26">
        <f>R8+S7</f>
        <v/>
      </c>
      <c r="T8" s="26">
        <f>S8+T7</f>
        <v/>
      </c>
      <c r="U8" s="26">
        <f>T8+U7</f>
        <v/>
      </c>
      <c r="V8" s="26">
        <f>U8+V7</f>
        <v/>
      </c>
      <c r="W8" s="26">
        <f>V8+W7</f>
        <v/>
      </c>
      <c r="X8" s="26">
        <f>W8+X7</f>
        <v/>
      </c>
      <c r="Y8" s="26">
        <f>X8+Y7</f>
        <v/>
      </c>
      <c r="Z8" s="26">
        <f>Y8+Z7</f>
        <v/>
      </c>
      <c r="AA8" s="26">
        <f>Z8+AA7</f>
        <v/>
      </c>
      <c r="AB8" s="26">
        <f>AA8+AB7</f>
        <v/>
      </c>
      <c r="AC8" s="26">
        <f>AB8+AC7</f>
        <v/>
      </c>
      <c r="AD8" s="26">
        <f>AC8+AD7</f>
        <v/>
      </c>
      <c r="AE8" s="26">
        <f>AD8+AE7</f>
        <v/>
      </c>
      <c r="AF8" s="26">
        <f>AE8+AF7</f>
        <v/>
      </c>
      <c r="AG8" s="26">
        <f>AF8+AG7</f>
        <v/>
      </c>
      <c r="AH8" s="26">
        <f>AG8+AH7</f>
        <v/>
      </c>
      <c r="AI8" s="26">
        <f>AH8+AI7</f>
        <v/>
      </c>
      <c r="AJ8" s="26">
        <f>AI8+AJ7</f>
        <v/>
      </c>
      <c r="AK8" s="26">
        <f>AJ8+AK7</f>
        <v/>
      </c>
    </row>
    <row r="9">
      <c r="A9" s="4" t="inlineStr">
        <is>
          <t>Renewing Accounts</t>
        </is>
      </c>
      <c r="B9" s="27" t="n">
        <v>0</v>
      </c>
      <c r="C9" s="27" t="n">
        <v>0</v>
      </c>
      <c r="D9" s="27" t="n">
        <v>0</v>
      </c>
      <c r="E9" s="27" t="n">
        <v>0</v>
      </c>
      <c r="F9" s="27" t="n">
        <v>0</v>
      </c>
      <c r="G9" s="27" t="n">
        <v>0</v>
      </c>
      <c r="H9" s="27" t="n">
        <v>0</v>
      </c>
      <c r="I9" s="27" t="n">
        <v>0</v>
      </c>
      <c r="J9" s="27" t="n">
        <v>0</v>
      </c>
      <c r="K9" s="27" t="n">
        <v>0</v>
      </c>
      <c r="L9" s="27" t="n">
        <v>0</v>
      </c>
      <c r="M9" s="27" t="n">
        <v>0</v>
      </c>
      <c r="N9" s="27">
        <f>ROUND(B7*Assumptions!$C$27, 0)</f>
        <v/>
      </c>
      <c r="O9" s="27">
        <f>ROUND(C7*Assumptions!$C$27, 0)</f>
        <v/>
      </c>
      <c r="P9" s="27">
        <f>ROUND(D7*Assumptions!$C$27, 0)</f>
        <v/>
      </c>
      <c r="Q9" s="27">
        <f>ROUND(E7*Assumptions!$C$27, 0)</f>
        <v/>
      </c>
      <c r="R9" s="27">
        <f>ROUND(F7*Assumptions!$C$27, 0)</f>
        <v/>
      </c>
      <c r="S9" s="27">
        <f>ROUND(G7*Assumptions!$C$27, 0)</f>
        <v/>
      </c>
      <c r="T9" s="27">
        <f>ROUND(H7*Assumptions!$C$27, 0)</f>
        <v/>
      </c>
      <c r="U9" s="27">
        <f>ROUND(I7*Assumptions!$C$27, 0)</f>
        <v/>
      </c>
      <c r="V9" s="27">
        <f>ROUND(J7*Assumptions!$C$27, 0)</f>
        <v/>
      </c>
      <c r="W9" s="27">
        <f>ROUND(K7*Assumptions!$C$27, 0)</f>
        <v/>
      </c>
      <c r="X9" s="27">
        <f>ROUND(L7*Assumptions!$C$27, 0)</f>
        <v/>
      </c>
      <c r="Y9" s="27">
        <f>ROUND(M7*Assumptions!$C$27, 0)</f>
        <v/>
      </c>
      <c r="Z9" s="27">
        <f>ROUND(N7*Assumptions!$C$27, 0)</f>
        <v/>
      </c>
      <c r="AA9" s="27">
        <f>ROUND(O7*Assumptions!$C$27, 0)</f>
        <v/>
      </c>
      <c r="AB9" s="27">
        <f>ROUND(P7*Assumptions!$C$27, 0)</f>
        <v/>
      </c>
      <c r="AC9" s="27">
        <f>ROUND(Q7*Assumptions!$C$27, 0)</f>
        <v/>
      </c>
      <c r="AD9" s="27">
        <f>ROUND(R7*Assumptions!$C$27, 0)</f>
        <v/>
      </c>
      <c r="AE9" s="27">
        <f>ROUND(S7*Assumptions!$C$27, 0)</f>
        <v/>
      </c>
      <c r="AF9" s="27">
        <f>ROUND(T7*Assumptions!$C$27, 0)</f>
        <v/>
      </c>
      <c r="AG9" s="27">
        <f>ROUND(U7*Assumptions!$C$27, 0)</f>
        <v/>
      </c>
      <c r="AH9" s="27">
        <f>ROUND(V7*Assumptions!$C$27, 0)</f>
        <v/>
      </c>
      <c r="AI9" s="27">
        <f>ROUND(W7*Assumptions!$C$27, 0)</f>
        <v/>
      </c>
      <c r="AJ9" s="27">
        <f>ROUND(X7*Assumptions!$C$27, 0)</f>
        <v/>
      </c>
      <c r="AK9" s="27">
        <f>ROUND(Y7*Assumptions!$C$27, 0)</f>
        <v/>
      </c>
    </row>
    <row r="10">
      <c r="A10" s="4" t="inlineStr">
        <is>
          <t>Net License Revenue (INR)</t>
        </is>
      </c>
      <c r="B10" s="15">
        <f>B7*'Product Pricing'!$E$12</f>
        <v/>
      </c>
      <c r="C10" s="15">
        <f>C7*'Product Pricing'!$E$12</f>
        <v/>
      </c>
      <c r="D10" s="15">
        <f>D7*'Product Pricing'!$E$12</f>
        <v/>
      </c>
      <c r="E10" s="15">
        <f>E7*'Product Pricing'!$E$12</f>
        <v/>
      </c>
      <c r="F10" s="15">
        <f>F7*'Product Pricing'!$E$12</f>
        <v/>
      </c>
      <c r="G10" s="15">
        <f>G7*'Product Pricing'!$E$12</f>
        <v/>
      </c>
      <c r="H10" s="15">
        <f>H7*'Product Pricing'!$E$12</f>
        <v/>
      </c>
      <c r="I10" s="15">
        <f>I7*'Product Pricing'!$E$12</f>
        <v/>
      </c>
      <c r="J10" s="15">
        <f>J7*'Product Pricing'!$E$12</f>
        <v/>
      </c>
      <c r="K10" s="15">
        <f>K7*'Product Pricing'!$E$12</f>
        <v/>
      </c>
      <c r="L10" s="15">
        <f>L7*'Product Pricing'!$E$12</f>
        <v/>
      </c>
      <c r="M10" s="15">
        <f>M7*'Product Pricing'!$E$12</f>
        <v/>
      </c>
      <c r="N10" s="15">
        <f>N7*'Product Pricing'!$E$12</f>
        <v/>
      </c>
      <c r="O10" s="15">
        <f>O7*'Product Pricing'!$E$12</f>
        <v/>
      </c>
      <c r="P10" s="15">
        <f>P7*'Product Pricing'!$E$12</f>
        <v/>
      </c>
      <c r="Q10" s="15">
        <f>Q7*'Product Pricing'!$E$12</f>
        <v/>
      </c>
      <c r="R10" s="15">
        <f>R7*'Product Pricing'!$E$12</f>
        <v/>
      </c>
      <c r="S10" s="15">
        <f>S7*'Product Pricing'!$E$12</f>
        <v/>
      </c>
      <c r="T10" s="15">
        <f>T7*'Product Pricing'!$E$12</f>
        <v/>
      </c>
      <c r="U10" s="15">
        <f>U7*'Product Pricing'!$E$12</f>
        <v/>
      </c>
      <c r="V10" s="15">
        <f>V7*'Product Pricing'!$E$12</f>
        <v/>
      </c>
      <c r="W10" s="15">
        <f>W7*'Product Pricing'!$E$12</f>
        <v/>
      </c>
      <c r="X10" s="15">
        <f>X7*'Product Pricing'!$E$12</f>
        <v/>
      </c>
      <c r="Y10" s="15">
        <f>Y7*'Product Pricing'!$E$12</f>
        <v/>
      </c>
      <c r="Z10" s="15">
        <f>Z7*'Product Pricing'!$E$12</f>
        <v/>
      </c>
      <c r="AA10" s="15">
        <f>AA7*'Product Pricing'!$E$12</f>
        <v/>
      </c>
      <c r="AB10" s="15">
        <f>AB7*'Product Pricing'!$E$12</f>
        <v/>
      </c>
      <c r="AC10" s="15">
        <f>AC7*'Product Pricing'!$E$12</f>
        <v/>
      </c>
      <c r="AD10" s="15">
        <f>AD7*'Product Pricing'!$E$12</f>
        <v/>
      </c>
      <c r="AE10" s="15">
        <f>AE7*'Product Pricing'!$E$12</f>
        <v/>
      </c>
      <c r="AF10" s="15">
        <f>AF7*'Product Pricing'!$E$12</f>
        <v/>
      </c>
      <c r="AG10" s="15">
        <f>AG7*'Product Pricing'!$E$12</f>
        <v/>
      </c>
      <c r="AH10" s="15">
        <f>AH7*'Product Pricing'!$E$12</f>
        <v/>
      </c>
      <c r="AI10" s="15">
        <f>AI7*'Product Pricing'!$E$12</f>
        <v/>
      </c>
      <c r="AJ10" s="15">
        <f>AJ7*'Product Pricing'!$E$12</f>
        <v/>
      </c>
      <c r="AK10" s="15">
        <f>AK7*'Product Pricing'!$E$12</f>
        <v/>
      </c>
    </row>
    <row r="11">
      <c r="A11" s="4" t="inlineStr">
        <is>
          <t>Net Renewal Revenue (INR)</t>
        </is>
      </c>
      <c r="B11" s="15">
        <f>B9*'Product Pricing'!$J$12</f>
        <v/>
      </c>
      <c r="C11" s="15">
        <f>C9*'Product Pricing'!$J$12</f>
        <v/>
      </c>
      <c r="D11" s="15">
        <f>D9*'Product Pricing'!$J$12</f>
        <v/>
      </c>
      <c r="E11" s="15">
        <f>E9*'Product Pricing'!$J$12</f>
        <v/>
      </c>
      <c r="F11" s="15">
        <f>F9*'Product Pricing'!$J$12</f>
        <v/>
      </c>
      <c r="G11" s="15">
        <f>G9*'Product Pricing'!$J$12</f>
        <v/>
      </c>
      <c r="H11" s="15">
        <f>H9*'Product Pricing'!$J$12</f>
        <v/>
      </c>
      <c r="I11" s="15">
        <f>I9*'Product Pricing'!$J$12</f>
        <v/>
      </c>
      <c r="J11" s="15">
        <f>J9*'Product Pricing'!$J$12</f>
        <v/>
      </c>
      <c r="K11" s="15">
        <f>K9*'Product Pricing'!$J$12</f>
        <v/>
      </c>
      <c r="L11" s="15">
        <f>L9*'Product Pricing'!$J$12</f>
        <v/>
      </c>
      <c r="M11" s="15">
        <f>M9*'Product Pricing'!$J$12</f>
        <v/>
      </c>
      <c r="N11" s="15">
        <f>N9*'Product Pricing'!$J$12</f>
        <v/>
      </c>
      <c r="O11" s="15">
        <f>O9*'Product Pricing'!$J$12</f>
        <v/>
      </c>
      <c r="P11" s="15">
        <f>P9*'Product Pricing'!$J$12</f>
        <v/>
      </c>
      <c r="Q11" s="15">
        <f>Q9*'Product Pricing'!$J$12</f>
        <v/>
      </c>
      <c r="R11" s="15">
        <f>R9*'Product Pricing'!$J$12</f>
        <v/>
      </c>
      <c r="S11" s="15">
        <f>S9*'Product Pricing'!$J$12</f>
        <v/>
      </c>
      <c r="T11" s="15">
        <f>T9*'Product Pricing'!$J$12</f>
        <v/>
      </c>
      <c r="U11" s="15">
        <f>U9*'Product Pricing'!$J$12</f>
        <v/>
      </c>
      <c r="V11" s="15">
        <f>V9*'Product Pricing'!$J$12</f>
        <v/>
      </c>
      <c r="W11" s="15">
        <f>W9*'Product Pricing'!$J$12</f>
        <v/>
      </c>
      <c r="X11" s="15">
        <f>X9*'Product Pricing'!$J$12</f>
        <v/>
      </c>
      <c r="Y11" s="15">
        <f>Y9*'Product Pricing'!$J$12</f>
        <v/>
      </c>
      <c r="Z11" s="15">
        <f>Z9*'Product Pricing'!$J$12</f>
        <v/>
      </c>
      <c r="AA11" s="15">
        <f>AA9*'Product Pricing'!$J$12</f>
        <v/>
      </c>
      <c r="AB11" s="15">
        <f>AB9*'Product Pricing'!$J$12</f>
        <v/>
      </c>
      <c r="AC11" s="15">
        <f>AC9*'Product Pricing'!$J$12</f>
        <v/>
      </c>
      <c r="AD11" s="15">
        <f>AD9*'Product Pricing'!$J$12</f>
        <v/>
      </c>
      <c r="AE11" s="15">
        <f>AE9*'Product Pricing'!$J$12</f>
        <v/>
      </c>
      <c r="AF11" s="15">
        <f>AF9*'Product Pricing'!$J$12</f>
        <v/>
      </c>
      <c r="AG11" s="15">
        <f>AG9*'Product Pricing'!$J$12</f>
        <v/>
      </c>
      <c r="AH11" s="15">
        <f>AH9*'Product Pricing'!$J$12</f>
        <v/>
      </c>
      <c r="AI11" s="15">
        <f>AI9*'Product Pricing'!$J$12</f>
        <v/>
      </c>
      <c r="AJ11" s="15">
        <f>AJ9*'Product Pricing'!$J$12</f>
        <v/>
      </c>
      <c r="AK11" s="15">
        <f>AK9*'Product Pricing'!$J$12</f>
        <v/>
      </c>
    </row>
    <row r="12">
      <c r="A12" s="1" t="inlineStr">
        <is>
          <t>TOTAL NET REVENUE (INR)</t>
        </is>
      </c>
      <c r="B12" s="18">
        <f>B10+B11</f>
        <v/>
      </c>
      <c r="C12" s="18">
        <f>C10+C11</f>
        <v/>
      </c>
      <c r="D12" s="18">
        <f>D10+D11</f>
        <v/>
      </c>
      <c r="E12" s="18">
        <f>E10+E11</f>
        <v/>
      </c>
      <c r="F12" s="18">
        <f>F10+F11</f>
        <v/>
      </c>
      <c r="G12" s="18">
        <f>G10+G11</f>
        <v/>
      </c>
      <c r="H12" s="18">
        <f>H10+H11</f>
        <v/>
      </c>
      <c r="I12" s="18">
        <f>I10+I11</f>
        <v/>
      </c>
      <c r="J12" s="18">
        <f>J10+J11</f>
        <v/>
      </c>
      <c r="K12" s="18">
        <f>K10+K11</f>
        <v/>
      </c>
      <c r="L12" s="18">
        <f>L10+L11</f>
        <v/>
      </c>
      <c r="M12" s="18">
        <f>M10+M11</f>
        <v/>
      </c>
      <c r="N12" s="18">
        <f>N10+N11</f>
        <v/>
      </c>
      <c r="O12" s="18">
        <f>O10+O11</f>
        <v/>
      </c>
      <c r="P12" s="18">
        <f>P10+P11</f>
        <v/>
      </c>
      <c r="Q12" s="18">
        <f>Q10+Q11</f>
        <v/>
      </c>
      <c r="R12" s="18">
        <f>R10+R11</f>
        <v/>
      </c>
      <c r="S12" s="18">
        <f>S10+S11</f>
        <v/>
      </c>
      <c r="T12" s="18">
        <f>T10+T11</f>
        <v/>
      </c>
      <c r="U12" s="18">
        <f>U10+U11</f>
        <v/>
      </c>
      <c r="V12" s="18">
        <f>V10+V11</f>
        <v/>
      </c>
      <c r="W12" s="18">
        <f>W10+W11</f>
        <v/>
      </c>
      <c r="X12" s="18">
        <f>X10+X11</f>
        <v/>
      </c>
      <c r="Y12" s="18">
        <f>Y10+Y11</f>
        <v/>
      </c>
      <c r="Z12" s="18">
        <f>Z10+Z11</f>
        <v/>
      </c>
      <c r="AA12" s="18">
        <f>AA10+AA11</f>
        <v/>
      </c>
      <c r="AB12" s="18">
        <f>AB10+AB11</f>
        <v/>
      </c>
      <c r="AC12" s="18">
        <f>AC10+AC11</f>
        <v/>
      </c>
      <c r="AD12" s="18">
        <f>AD10+AD11</f>
        <v/>
      </c>
      <c r="AE12" s="18">
        <f>AE10+AE11</f>
        <v/>
      </c>
      <c r="AF12" s="18">
        <f>AF10+AF11</f>
        <v/>
      </c>
      <c r="AG12" s="18">
        <f>AG10+AG11</f>
        <v/>
      </c>
      <c r="AH12" s="18">
        <f>AH10+AH11</f>
        <v/>
      </c>
      <c r="AI12" s="18">
        <f>AI10+AI11</f>
        <v/>
      </c>
      <c r="AJ12" s="18">
        <f>AJ10+AJ11</f>
        <v/>
      </c>
      <c r="AK12" s="18">
        <f>AK10+AK11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Franchisee 36-Month Pro-Forma Statement of Profit and Loss</t>
        </is>
      </c>
    </row>
    <row r="2">
      <c r="A2" s="2" t="inlineStr">
        <is>
          <t>Reflects 40% commission on software licenses and renewals minus local operating expenses.</t>
        </is>
      </c>
    </row>
    <row r="3"/>
    <row r="4"/>
    <row r="5">
      <c r="A5" s="10" t="inlineStr">
        <is>
          <t>P&amp;L Line Item</t>
        </is>
      </c>
      <c r="B5" s="3" t="inlineStr">
        <is>
          <t>M01</t>
        </is>
      </c>
      <c r="C5" s="3" t="inlineStr">
        <is>
          <t>M02</t>
        </is>
      </c>
      <c r="D5" s="3" t="inlineStr">
        <is>
          <t>M03</t>
        </is>
      </c>
      <c r="E5" s="3" t="inlineStr">
        <is>
          <t>M04</t>
        </is>
      </c>
      <c r="F5" s="3" t="inlineStr">
        <is>
          <t>M05</t>
        </is>
      </c>
      <c r="G5" s="3" t="inlineStr">
        <is>
          <t>M06</t>
        </is>
      </c>
      <c r="H5" s="3" t="inlineStr">
        <is>
          <t>M07</t>
        </is>
      </c>
      <c r="I5" s="3" t="inlineStr">
        <is>
          <t>M08</t>
        </is>
      </c>
      <c r="J5" s="3" t="inlineStr">
        <is>
          <t>M09</t>
        </is>
      </c>
      <c r="K5" s="3" t="inlineStr">
        <is>
          <t>M10</t>
        </is>
      </c>
      <c r="L5" s="3" t="inlineStr">
        <is>
          <t>M11</t>
        </is>
      </c>
      <c r="M5" s="3" t="inlineStr">
        <is>
          <t>M12</t>
        </is>
      </c>
      <c r="N5" s="3" t="inlineStr">
        <is>
          <t>M13</t>
        </is>
      </c>
      <c r="O5" s="3" t="inlineStr">
        <is>
          <t>M14</t>
        </is>
      </c>
      <c r="P5" s="3" t="inlineStr">
        <is>
          <t>M15</t>
        </is>
      </c>
      <c r="Q5" s="3" t="inlineStr">
        <is>
          <t>M16</t>
        </is>
      </c>
      <c r="R5" s="3" t="inlineStr">
        <is>
          <t>M17</t>
        </is>
      </c>
      <c r="S5" s="3" t="inlineStr">
        <is>
          <t>M18</t>
        </is>
      </c>
      <c r="T5" s="3" t="inlineStr">
        <is>
          <t>M19</t>
        </is>
      </c>
      <c r="U5" s="3" t="inlineStr">
        <is>
          <t>M20</t>
        </is>
      </c>
      <c r="V5" s="3" t="inlineStr">
        <is>
          <t>M21</t>
        </is>
      </c>
      <c r="W5" s="3" t="inlineStr">
        <is>
          <t>M22</t>
        </is>
      </c>
      <c r="X5" s="3" t="inlineStr">
        <is>
          <t>M23</t>
        </is>
      </c>
      <c r="Y5" s="3" t="inlineStr">
        <is>
          <t>M24</t>
        </is>
      </c>
      <c r="Z5" s="3" t="inlineStr">
        <is>
          <t>M25</t>
        </is>
      </c>
      <c r="AA5" s="3" t="inlineStr">
        <is>
          <t>M26</t>
        </is>
      </c>
      <c r="AB5" s="3" t="inlineStr">
        <is>
          <t>M27</t>
        </is>
      </c>
      <c r="AC5" s="3" t="inlineStr">
        <is>
          <t>M28</t>
        </is>
      </c>
      <c r="AD5" s="3" t="inlineStr">
        <is>
          <t>M29</t>
        </is>
      </c>
      <c r="AE5" s="3" t="inlineStr">
        <is>
          <t>M30</t>
        </is>
      </c>
      <c r="AF5" s="3" t="inlineStr">
        <is>
          <t>M31</t>
        </is>
      </c>
      <c r="AG5" s="3" t="inlineStr">
        <is>
          <t>M32</t>
        </is>
      </c>
      <c r="AH5" s="3" t="inlineStr">
        <is>
          <t>M33</t>
        </is>
      </c>
      <c r="AI5" s="3" t="inlineStr">
        <is>
          <t>M34</t>
        </is>
      </c>
      <c r="AJ5" s="3" t="inlineStr">
        <is>
          <t>M35</t>
        </is>
      </c>
      <c r="AK5" s="3" t="inlineStr">
        <is>
          <t>M36</t>
        </is>
      </c>
    </row>
    <row r="6">
      <c r="A6" s="7" t="inlineStr">
        <is>
          <t>License Commission (40%)</t>
        </is>
      </c>
      <c r="B6" s="28">
        <f>'Monthly Sales Forecast'!B10*Assumptions!$C$23</f>
        <v/>
      </c>
      <c r="C6" s="28">
        <f>'Monthly Sales Forecast'!C10*Assumptions!$C$23</f>
        <v/>
      </c>
      <c r="D6" s="28">
        <f>'Monthly Sales Forecast'!D10*Assumptions!$C$23</f>
        <v/>
      </c>
      <c r="E6" s="28">
        <f>'Monthly Sales Forecast'!E10*Assumptions!$C$23</f>
        <v/>
      </c>
      <c r="F6" s="28">
        <f>'Monthly Sales Forecast'!F10*Assumptions!$C$23</f>
        <v/>
      </c>
      <c r="G6" s="28">
        <f>'Monthly Sales Forecast'!G10*Assumptions!$C$23</f>
        <v/>
      </c>
      <c r="H6" s="28">
        <f>'Monthly Sales Forecast'!H10*Assumptions!$C$23</f>
        <v/>
      </c>
      <c r="I6" s="28">
        <f>'Monthly Sales Forecast'!I10*Assumptions!$C$23</f>
        <v/>
      </c>
      <c r="J6" s="28">
        <f>'Monthly Sales Forecast'!J10*Assumptions!$C$23</f>
        <v/>
      </c>
      <c r="K6" s="28">
        <f>'Monthly Sales Forecast'!K10*Assumptions!$C$23</f>
        <v/>
      </c>
      <c r="L6" s="28">
        <f>'Monthly Sales Forecast'!L10*Assumptions!$C$23</f>
        <v/>
      </c>
      <c r="M6" s="28">
        <f>'Monthly Sales Forecast'!M10*Assumptions!$C$23</f>
        <v/>
      </c>
      <c r="N6" s="28">
        <f>'Monthly Sales Forecast'!N10*Assumptions!$C$23</f>
        <v/>
      </c>
      <c r="O6" s="28">
        <f>'Monthly Sales Forecast'!O10*Assumptions!$C$23</f>
        <v/>
      </c>
      <c r="P6" s="28">
        <f>'Monthly Sales Forecast'!P10*Assumptions!$C$23</f>
        <v/>
      </c>
      <c r="Q6" s="28">
        <f>'Monthly Sales Forecast'!Q10*Assumptions!$C$23</f>
        <v/>
      </c>
      <c r="R6" s="28">
        <f>'Monthly Sales Forecast'!R10*Assumptions!$C$23</f>
        <v/>
      </c>
      <c r="S6" s="28">
        <f>'Monthly Sales Forecast'!S10*Assumptions!$C$23</f>
        <v/>
      </c>
      <c r="T6" s="28">
        <f>'Monthly Sales Forecast'!T10*Assumptions!$C$23</f>
        <v/>
      </c>
      <c r="U6" s="28">
        <f>'Monthly Sales Forecast'!U10*Assumptions!$C$23</f>
        <v/>
      </c>
      <c r="V6" s="28">
        <f>'Monthly Sales Forecast'!V10*Assumptions!$C$23</f>
        <v/>
      </c>
      <c r="W6" s="28">
        <f>'Monthly Sales Forecast'!W10*Assumptions!$C$23</f>
        <v/>
      </c>
      <c r="X6" s="28">
        <f>'Monthly Sales Forecast'!X10*Assumptions!$C$23</f>
        <v/>
      </c>
      <c r="Y6" s="28">
        <f>'Monthly Sales Forecast'!Y10*Assumptions!$C$23</f>
        <v/>
      </c>
      <c r="Z6" s="28">
        <f>'Monthly Sales Forecast'!Z10*Assumptions!$C$23</f>
        <v/>
      </c>
      <c r="AA6" s="28">
        <f>'Monthly Sales Forecast'!AA10*Assumptions!$C$23</f>
        <v/>
      </c>
      <c r="AB6" s="28">
        <f>'Monthly Sales Forecast'!AB10*Assumptions!$C$23</f>
        <v/>
      </c>
      <c r="AC6" s="28">
        <f>'Monthly Sales Forecast'!AC10*Assumptions!$C$23</f>
        <v/>
      </c>
      <c r="AD6" s="28">
        <f>'Monthly Sales Forecast'!AD10*Assumptions!$C$23</f>
        <v/>
      </c>
      <c r="AE6" s="28">
        <f>'Monthly Sales Forecast'!AE10*Assumptions!$C$23</f>
        <v/>
      </c>
      <c r="AF6" s="28">
        <f>'Monthly Sales Forecast'!AF10*Assumptions!$C$23</f>
        <v/>
      </c>
      <c r="AG6" s="28">
        <f>'Monthly Sales Forecast'!AG10*Assumptions!$C$23</f>
        <v/>
      </c>
      <c r="AH6" s="28">
        <f>'Monthly Sales Forecast'!AH10*Assumptions!$C$23</f>
        <v/>
      </c>
      <c r="AI6" s="28">
        <f>'Monthly Sales Forecast'!AI10*Assumptions!$C$23</f>
        <v/>
      </c>
      <c r="AJ6" s="28">
        <f>'Monthly Sales Forecast'!AJ10*Assumptions!$C$23</f>
        <v/>
      </c>
      <c r="AK6" s="28">
        <f>'Monthly Sales Forecast'!AK10*Assumptions!$C$23</f>
        <v/>
      </c>
    </row>
    <row r="7">
      <c r="A7" s="7" t="inlineStr">
        <is>
          <t>Renewal Commission (40%)</t>
        </is>
      </c>
      <c r="B7" s="28">
        <f>'Monthly Sales Forecast'!B11*Assumptions!$C$25</f>
        <v/>
      </c>
      <c r="C7" s="28">
        <f>'Monthly Sales Forecast'!C11*Assumptions!$C$25</f>
        <v/>
      </c>
      <c r="D7" s="28">
        <f>'Monthly Sales Forecast'!D11*Assumptions!$C$25</f>
        <v/>
      </c>
      <c r="E7" s="28">
        <f>'Monthly Sales Forecast'!E11*Assumptions!$C$25</f>
        <v/>
      </c>
      <c r="F7" s="28">
        <f>'Monthly Sales Forecast'!F11*Assumptions!$C$25</f>
        <v/>
      </c>
      <c r="G7" s="28">
        <f>'Monthly Sales Forecast'!G11*Assumptions!$C$25</f>
        <v/>
      </c>
      <c r="H7" s="28">
        <f>'Monthly Sales Forecast'!H11*Assumptions!$C$25</f>
        <v/>
      </c>
      <c r="I7" s="28">
        <f>'Monthly Sales Forecast'!I11*Assumptions!$C$25</f>
        <v/>
      </c>
      <c r="J7" s="28">
        <f>'Monthly Sales Forecast'!J11*Assumptions!$C$25</f>
        <v/>
      </c>
      <c r="K7" s="28">
        <f>'Monthly Sales Forecast'!K11*Assumptions!$C$25</f>
        <v/>
      </c>
      <c r="L7" s="28">
        <f>'Monthly Sales Forecast'!L11*Assumptions!$C$25</f>
        <v/>
      </c>
      <c r="M7" s="28">
        <f>'Monthly Sales Forecast'!M11*Assumptions!$C$25</f>
        <v/>
      </c>
      <c r="N7" s="28">
        <f>'Monthly Sales Forecast'!N11*Assumptions!$C$25</f>
        <v/>
      </c>
      <c r="O7" s="28">
        <f>'Monthly Sales Forecast'!O11*Assumptions!$C$25</f>
        <v/>
      </c>
      <c r="P7" s="28">
        <f>'Monthly Sales Forecast'!P11*Assumptions!$C$25</f>
        <v/>
      </c>
      <c r="Q7" s="28">
        <f>'Monthly Sales Forecast'!Q11*Assumptions!$C$25</f>
        <v/>
      </c>
      <c r="R7" s="28">
        <f>'Monthly Sales Forecast'!R11*Assumptions!$C$25</f>
        <v/>
      </c>
      <c r="S7" s="28">
        <f>'Monthly Sales Forecast'!S11*Assumptions!$C$25</f>
        <v/>
      </c>
      <c r="T7" s="28">
        <f>'Monthly Sales Forecast'!T11*Assumptions!$C$25</f>
        <v/>
      </c>
      <c r="U7" s="28">
        <f>'Monthly Sales Forecast'!U11*Assumptions!$C$25</f>
        <v/>
      </c>
      <c r="V7" s="28">
        <f>'Monthly Sales Forecast'!V11*Assumptions!$C$25</f>
        <v/>
      </c>
      <c r="W7" s="28">
        <f>'Monthly Sales Forecast'!W11*Assumptions!$C$25</f>
        <v/>
      </c>
      <c r="X7" s="28">
        <f>'Monthly Sales Forecast'!X11*Assumptions!$C$25</f>
        <v/>
      </c>
      <c r="Y7" s="28">
        <f>'Monthly Sales Forecast'!Y11*Assumptions!$C$25</f>
        <v/>
      </c>
      <c r="Z7" s="28">
        <f>'Monthly Sales Forecast'!Z11*Assumptions!$C$25</f>
        <v/>
      </c>
      <c r="AA7" s="28">
        <f>'Monthly Sales Forecast'!AA11*Assumptions!$C$25</f>
        <v/>
      </c>
      <c r="AB7" s="28">
        <f>'Monthly Sales Forecast'!AB11*Assumptions!$C$25</f>
        <v/>
      </c>
      <c r="AC7" s="28">
        <f>'Monthly Sales Forecast'!AC11*Assumptions!$C$25</f>
        <v/>
      </c>
      <c r="AD7" s="28">
        <f>'Monthly Sales Forecast'!AD11*Assumptions!$C$25</f>
        <v/>
      </c>
      <c r="AE7" s="28">
        <f>'Monthly Sales Forecast'!AE11*Assumptions!$C$25</f>
        <v/>
      </c>
      <c r="AF7" s="28">
        <f>'Monthly Sales Forecast'!AF11*Assumptions!$C$25</f>
        <v/>
      </c>
      <c r="AG7" s="28">
        <f>'Monthly Sales Forecast'!AG11*Assumptions!$C$25</f>
        <v/>
      </c>
      <c r="AH7" s="28">
        <f>'Monthly Sales Forecast'!AH11*Assumptions!$C$25</f>
        <v/>
      </c>
      <c r="AI7" s="28">
        <f>'Monthly Sales Forecast'!AI11*Assumptions!$C$25</f>
        <v/>
      </c>
      <c r="AJ7" s="28">
        <f>'Monthly Sales Forecast'!AJ11*Assumptions!$C$25</f>
        <v/>
      </c>
      <c r="AK7" s="28">
        <f>'Monthly Sales Forecast'!AK11*Assumptions!$C$25</f>
        <v/>
      </c>
    </row>
    <row r="8">
      <c r="A8" s="4" t="inlineStr">
        <is>
          <t>GROSS COMMISSION INCOME</t>
        </is>
      </c>
      <c r="B8" s="11">
        <f>B6+B7</f>
        <v/>
      </c>
      <c r="C8" s="11">
        <f>C6+C7</f>
        <v/>
      </c>
      <c r="D8" s="11">
        <f>D6+D7</f>
        <v/>
      </c>
      <c r="E8" s="11">
        <f>E6+E7</f>
        <v/>
      </c>
      <c r="F8" s="11">
        <f>F6+F7</f>
        <v/>
      </c>
      <c r="G8" s="11">
        <f>G6+G7</f>
        <v/>
      </c>
      <c r="H8" s="11">
        <f>H6+H7</f>
        <v/>
      </c>
      <c r="I8" s="11">
        <f>I6+I7</f>
        <v/>
      </c>
      <c r="J8" s="11">
        <f>J6+J7</f>
        <v/>
      </c>
      <c r="K8" s="11">
        <f>K6+K7</f>
        <v/>
      </c>
      <c r="L8" s="11">
        <f>L6+L7</f>
        <v/>
      </c>
      <c r="M8" s="11">
        <f>M6+M7</f>
        <v/>
      </c>
      <c r="N8" s="11">
        <f>N6+N7</f>
        <v/>
      </c>
      <c r="O8" s="11">
        <f>O6+O7</f>
        <v/>
      </c>
      <c r="P8" s="11">
        <f>P6+P7</f>
        <v/>
      </c>
      <c r="Q8" s="11">
        <f>Q6+Q7</f>
        <v/>
      </c>
      <c r="R8" s="11">
        <f>R6+R7</f>
        <v/>
      </c>
      <c r="S8" s="11">
        <f>S6+S7</f>
        <v/>
      </c>
      <c r="T8" s="11">
        <f>T6+T7</f>
        <v/>
      </c>
      <c r="U8" s="11">
        <f>U6+U7</f>
        <v/>
      </c>
      <c r="V8" s="11">
        <f>V6+V7</f>
        <v/>
      </c>
      <c r="W8" s="11">
        <f>W6+W7</f>
        <v/>
      </c>
      <c r="X8" s="11">
        <f>X6+X7</f>
        <v/>
      </c>
      <c r="Y8" s="11">
        <f>Y6+Y7</f>
        <v/>
      </c>
      <c r="Z8" s="11">
        <f>Z6+Z7</f>
        <v/>
      </c>
      <c r="AA8" s="11">
        <f>AA6+AA7</f>
        <v/>
      </c>
      <c r="AB8" s="11">
        <f>AB6+AB7</f>
        <v/>
      </c>
      <c r="AC8" s="11">
        <f>AC6+AC7</f>
        <v/>
      </c>
      <c r="AD8" s="11">
        <f>AD6+AD7</f>
        <v/>
      </c>
      <c r="AE8" s="11">
        <f>AE6+AE7</f>
        <v/>
      </c>
      <c r="AF8" s="11">
        <f>AF6+AF7</f>
        <v/>
      </c>
      <c r="AG8" s="11">
        <f>AG6+AG7</f>
        <v/>
      </c>
      <c r="AH8" s="11">
        <f>AH6+AH7</f>
        <v/>
      </c>
      <c r="AI8" s="11">
        <f>AI6+AI7</f>
        <v/>
      </c>
      <c r="AJ8" s="11">
        <f>AJ6+AJ7</f>
        <v/>
      </c>
      <c r="AK8" s="11">
        <f>AK6+AK7</f>
        <v/>
      </c>
    </row>
    <row r="9">
      <c r="A9" s="7" t="inlineStr">
        <is>
          <t>Office Rent</t>
        </is>
      </c>
      <c r="B9" s="28">
        <f>Assumptions!$C$15</f>
        <v/>
      </c>
      <c r="C9" s="28">
        <f>Assumptions!$C$15</f>
        <v/>
      </c>
      <c r="D9" s="28">
        <f>Assumptions!$C$15</f>
        <v/>
      </c>
      <c r="E9" s="28">
        <f>Assumptions!$C$15</f>
        <v/>
      </c>
      <c r="F9" s="28">
        <f>Assumptions!$C$15</f>
        <v/>
      </c>
      <c r="G9" s="28">
        <f>Assumptions!$C$15</f>
        <v/>
      </c>
      <c r="H9" s="28">
        <f>Assumptions!$C$15</f>
        <v/>
      </c>
      <c r="I9" s="28">
        <f>Assumptions!$C$15</f>
        <v/>
      </c>
      <c r="J9" s="28">
        <f>Assumptions!$C$15</f>
        <v/>
      </c>
      <c r="K9" s="28">
        <f>Assumptions!$C$15</f>
        <v/>
      </c>
      <c r="L9" s="28">
        <f>Assumptions!$C$15</f>
        <v/>
      </c>
      <c r="M9" s="28">
        <f>Assumptions!$C$15</f>
        <v/>
      </c>
      <c r="N9" s="28">
        <f>Assumptions!$C$15</f>
        <v/>
      </c>
      <c r="O9" s="28">
        <f>Assumptions!$C$15</f>
        <v/>
      </c>
      <c r="P9" s="28">
        <f>Assumptions!$C$15</f>
        <v/>
      </c>
      <c r="Q9" s="28">
        <f>Assumptions!$C$15</f>
        <v/>
      </c>
      <c r="R9" s="28">
        <f>Assumptions!$C$15</f>
        <v/>
      </c>
      <c r="S9" s="28">
        <f>Assumptions!$C$15</f>
        <v/>
      </c>
      <c r="T9" s="28">
        <f>Assumptions!$C$15</f>
        <v/>
      </c>
      <c r="U9" s="28">
        <f>Assumptions!$C$15</f>
        <v/>
      </c>
      <c r="V9" s="28">
        <f>Assumptions!$C$15</f>
        <v/>
      </c>
      <c r="W9" s="28">
        <f>Assumptions!$C$15</f>
        <v/>
      </c>
      <c r="X9" s="28">
        <f>Assumptions!$C$15</f>
        <v/>
      </c>
      <c r="Y9" s="28">
        <f>Assumptions!$C$15</f>
        <v/>
      </c>
      <c r="Z9" s="28">
        <f>Assumptions!$C$15</f>
        <v/>
      </c>
      <c r="AA9" s="28">
        <f>Assumptions!$C$15</f>
        <v/>
      </c>
      <c r="AB9" s="28">
        <f>Assumptions!$C$15</f>
        <v/>
      </c>
      <c r="AC9" s="28">
        <f>Assumptions!$C$15</f>
        <v/>
      </c>
      <c r="AD9" s="28">
        <f>Assumptions!$C$15</f>
        <v/>
      </c>
      <c r="AE9" s="28">
        <f>Assumptions!$C$15</f>
        <v/>
      </c>
      <c r="AF9" s="28">
        <f>Assumptions!$C$15</f>
        <v/>
      </c>
      <c r="AG9" s="28">
        <f>Assumptions!$C$15</f>
        <v/>
      </c>
      <c r="AH9" s="28">
        <f>Assumptions!$C$15</f>
        <v/>
      </c>
      <c r="AI9" s="28">
        <f>Assumptions!$C$15</f>
        <v/>
      </c>
      <c r="AJ9" s="28">
        <f>Assumptions!$C$15</f>
        <v/>
      </c>
      <c r="AK9" s="28">
        <f>Assumptions!$C$15</f>
        <v/>
      </c>
    </row>
    <row r="10">
      <c r="A10" s="7" t="inlineStr">
        <is>
          <t>Salesperson Salary</t>
        </is>
      </c>
      <c r="B10" s="28">
        <f>Assumptions!$C$16</f>
        <v/>
      </c>
      <c r="C10" s="28">
        <f>Assumptions!$C$16</f>
        <v/>
      </c>
      <c r="D10" s="28">
        <f>Assumptions!$C$16</f>
        <v/>
      </c>
      <c r="E10" s="28">
        <f>Assumptions!$C$16</f>
        <v/>
      </c>
      <c r="F10" s="28">
        <f>Assumptions!$C$16</f>
        <v/>
      </c>
      <c r="G10" s="28">
        <f>Assumptions!$C$16</f>
        <v/>
      </c>
      <c r="H10" s="28">
        <f>Assumptions!$C$16</f>
        <v/>
      </c>
      <c r="I10" s="28">
        <f>Assumptions!$C$16</f>
        <v/>
      </c>
      <c r="J10" s="28">
        <f>Assumptions!$C$16</f>
        <v/>
      </c>
      <c r="K10" s="28">
        <f>Assumptions!$C$16</f>
        <v/>
      </c>
      <c r="L10" s="28">
        <f>Assumptions!$C$16</f>
        <v/>
      </c>
      <c r="M10" s="28">
        <f>Assumptions!$C$16</f>
        <v/>
      </c>
      <c r="N10" s="28">
        <f>Assumptions!$C$16</f>
        <v/>
      </c>
      <c r="O10" s="28">
        <f>Assumptions!$C$16</f>
        <v/>
      </c>
      <c r="P10" s="28">
        <f>Assumptions!$C$16</f>
        <v/>
      </c>
      <c r="Q10" s="28">
        <f>Assumptions!$C$16</f>
        <v/>
      </c>
      <c r="R10" s="28">
        <f>Assumptions!$C$16</f>
        <v/>
      </c>
      <c r="S10" s="28">
        <f>Assumptions!$C$16</f>
        <v/>
      </c>
      <c r="T10" s="28">
        <f>Assumptions!$C$16</f>
        <v/>
      </c>
      <c r="U10" s="28">
        <f>Assumptions!$C$16</f>
        <v/>
      </c>
      <c r="V10" s="28">
        <f>Assumptions!$C$16</f>
        <v/>
      </c>
      <c r="W10" s="28">
        <f>Assumptions!$C$16</f>
        <v/>
      </c>
      <c r="X10" s="28">
        <f>Assumptions!$C$16</f>
        <v/>
      </c>
      <c r="Y10" s="28">
        <f>Assumptions!$C$16</f>
        <v/>
      </c>
      <c r="Z10" s="28">
        <f>Assumptions!$C$16</f>
        <v/>
      </c>
      <c r="AA10" s="28">
        <f>Assumptions!$C$16</f>
        <v/>
      </c>
      <c r="AB10" s="28">
        <f>Assumptions!$C$16</f>
        <v/>
      </c>
      <c r="AC10" s="28">
        <f>Assumptions!$C$16</f>
        <v/>
      </c>
      <c r="AD10" s="28">
        <f>Assumptions!$C$16</f>
        <v/>
      </c>
      <c r="AE10" s="28">
        <f>Assumptions!$C$16</f>
        <v/>
      </c>
      <c r="AF10" s="28">
        <f>Assumptions!$C$16</f>
        <v/>
      </c>
      <c r="AG10" s="28">
        <f>Assumptions!$C$16</f>
        <v/>
      </c>
      <c r="AH10" s="28">
        <f>Assumptions!$C$16</f>
        <v/>
      </c>
      <c r="AI10" s="28">
        <f>Assumptions!$C$16</f>
        <v/>
      </c>
      <c r="AJ10" s="28">
        <f>Assumptions!$C$16</f>
        <v/>
      </c>
      <c r="AK10" s="28">
        <f>Assumptions!$C$16</f>
        <v/>
      </c>
    </row>
    <row r="11">
      <c r="A11" s="7" t="inlineStr">
        <is>
          <t>Utilities, Internet &amp; Telecom</t>
        </is>
      </c>
      <c r="B11" s="28">
        <f>Assumptions!$C$17</f>
        <v/>
      </c>
      <c r="C11" s="28">
        <f>Assumptions!$C$17</f>
        <v/>
      </c>
      <c r="D11" s="28">
        <f>Assumptions!$C$17</f>
        <v/>
      </c>
      <c r="E11" s="28">
        <f>Assumptions!$C$17</f>
        <v/>
      </c>
      <c r="F11" s="28">
        <f>Assumptions!$C$17</f>
        <v/>
      </c>
      <c r="G11" s="28">
        <f>Assumptions!$C$17</f>
        <v/>
      </c>
      <c r="H11" s="28">
        <f>Assumptions!$C$17</f>
        <v/>
      </c>
      <c r="I11" s="28">
        <f>Assumptions!$C$17</f>
        <v/>
      </c>
      <c r="J11" s="28">
        <f>Assumptions!$C$17</f>
        <v/>
      </c>
      <c r="K11" s="28">
        <f>Assumptions!$C$17</f>
        <v/>
      </c>
      <c r="L11" s="28">
        <f>Assumptions!$C$17</f>
        <v/>
      </c>
      <c r="M11" s="28">
        <f>Assumptions!$C$17</f>
        <v/>
      </c>
      <c r="N11" s="28">
        <f>Assumptions!$C$17</f>
        <v/>
      </c>
      <c r="O11" s="28">
        <f>Assumptions!$C$17</f>
        <v/>
      </c>
      <c r="P11" s="28">
        <f>Assumptions!$C$17</f>
        <v/>
      </c>
      <c r="Q11" s="28">
        <f>Assumptions!$C$17</f>
        <v/>
      </c>
      <c r="R11" s="28">
        <f>Assumptions!$C$17</f>
        <v/>
      </c>
      <c r="S11" s="28">
        <f>Assumptions!$C$17</f>
        <v/>
      </c>
      <c r="T11" s="28">
        <f>Assumptions!$C$17</f>
        <v/>
      </c>
      <c r="U11" s="28">
        <f>Assumptions!$C$17</f>
        <v/>
      </c>
      <c r="V11" s="28">
        <f>Assumptions!$C$17</f>
        <v/>
      </c>
      <c r="W11" s="28">
        <f>Assumptions!$C$17</f>
        <v/>
      </c>
      <c r="X11" s="28">
        <f>Assumptions!$C$17</f>
        <v/>
      </c>
      <c r="Y11" s="28">
        <f>Assumptions!$C$17</f>
        <v/>
      </c>
      <c r="Z11" s="28">
        <f>Assumptions!$C$17</f>
        <v/>
      </c>
      <c r="AA11" s="28">
        <f>Assumptions!$C$17</f>
        <v/>
      </c>
      <c r="AB11" s="28">
        <f>Assumptions!$C$17</f>
        <v/>
      </c>
      <c r="AC11" s="28">
        <f>Assumptions!$C$17</f>
        <v/>
      </c>
      <c r="AD11" s="28">
        <f>Assumptions!$C$17</f>
        <v/>
      </c>
      <c r="AE11" s="28">
        <f>Assumptions!$C$17</f>
        <v/>
      </c>
      <c r="AF11" s="28">
        <f>Assumptions!$C$17</f>
        <v/>
      </c>
      <c r="AG11" s="28">
        <f>Assumptions!$C$17</f>
        <v/>
      </c>
      <c r="AH11" s="28">
        <f>Assumptions!$C$17</f>
        <v/>
      </c>
      <c r="AI11" s="28">
        <f>Assumptions!$C$17</f>
        <v/>
      </c>
      <c r="AJ11" s="28">
        <f>Assumptions!$C$17</f>
        <v/>
      </c>
      <c r="AK11" s="28">
        <f>Assumptions!$C$17</f>
        <v/>
      </c>
    </row>
    <row r="12">
      <c r="A12" s="7" t="inlineStr">
        <is>
          <t>Local Travel &amp; Sales Marketing</t>
        </is>
      </c>
      <c r="B12" s="28">
        <f>Assumptions!$C$18</f>
        <v/>
      </c>
      <c r="C12" s="28">
        <f>Assumptions!$C$18</f>
        <v/>
      </c>
      <c r="D12" s="28">
        <f>Assumptions!$C$18</f>
        <v/>
      </c>
      <c r="E12" s="28">
        <f>Assumptions!$C$18</f>
        <v/>
      </c>
      <c r="F12" s="28">
        <f>Assumptions!$C$18</f>
        <v/>
      </c>
      <c r="G12" s="28">
        <f>Assumptions!$C$18</f>
        <v/>
      </c>
      <c r="H12" s="28">
        <f>Assumptions!$C$18</f>
        <v/>
      </c>
      <c r="I12" s="28">
        <f>Assumptions!$C$18</f>
        <v/>
      </c>
      <c r="J12" s="28">
        <f>Assumptions!$C$18</f>
        <v/>
      </c>
      <c r="K12" s="28">
        <f>Assumptions!$C$18</f>
        <v/>
      </c>
      <c r="L12" s="28">
        <f>Assumptions!$C$18</f>
        <v/>
      </c>
      <c r="M12" s="28">
        <f>Assumptions!$C$18</f>
        <v/>
      </c>
      <c r="N12" s="28">
        <f>Assumptions!$C$18</f>
        <v/>
      </c>
      <c r="O12" s="28">
        <f>Assumptions!$C$18</f>
        <v/>
      </c>
      <c r="P12" s="28">
        <f>Assumptions!$C$18</f>
        <v/>
      </c>
      <c r="Q12" s="28">
        <f>Assumptions!$C$18</f>
        <v/>
      </c>
      <c r="R12" s="28">
        <f>Assumptions!$C$18</f>
        <v/>
      </c>
      <c r="S12" s="28">
        <f>Assumptions!$C$18</f>
        <v/>
      </c>
      <c r="T12" s="28">
        <f>Assumptions!$C$18</f>
        <v/>
      </c>
      <c r="U12" s="28">
        <f>Assumptions!$C$18</f>
        <v/>
      </c>
      <c r="V12" s="28">
        <f>Assumptions!$C$18</f>
        <v/>
      </c>
      <c r="W12" s="28">
        <f>Assumptions!$C$18</f>
        <v/>
      </c>
      <c r="X12" s="28">
        <f>Assumptions!$C$18</f>
        <v/>
      </c>
      <c r="Y12" s="28">
        <f>Assumptions!$C$18</f>
        <v/>
      </c>
      <c r="Z12" s="28">
        <f>Assumptions!$C$18</f>
        <v/>
      </c>
      <c r="AA12" s="28">
        <f>Assumptions!$C$18</f>
        <v/>
      </c>
      <c r="AB12" s="28">
        <f>Assumptions!$C$18</f>
        <v/>
      </c>
      <c r="AC12" s="28">
        <f>Assumptions!$C$18</f>
        <v/>
      </c>
      <c r="AD12" s="28">
        <f>Assumptions!$C$18</f>
        <v/>
      </c>
      <c r="AE12" s="28">
        <f>Assumptions!$C$18</f>
        <v/>
      </c>
      <c r="AF12" s="28">
        <f>Assumptions!$C$18</f>
        <v/>
      </c>
      <c r="AG12" s="28">
        <f>Assumptions!$C$18</f>
        <v/>
      </c>
      <c r="AH12" s="28">
        <f>Assumptions!$C$18</f>
        <v/>
      </c>
      <c r="AI12" s="28">
        <f>Assumptions!$C$18</f>
        <v/>
      </c>
      <c r="AJ12" s="28">
        <f>Assumptions!$C$18</f>
        <v/>
      </c>
      <c r="AK12" s="28">
        <f>Assumptions!$C$18</f>
        <v/>
      </c>
    </row>
    <row r="13">
      <c r="A13" s="7" t="inlineStr">
        <is>
          <t>Accounting &amp; Admin</t>
        </is>
      </c>
      <c r="B13" s="28">
        <f>Assumptions!$C$19</f>
        <v/>
      </c>
      <c r="C13" s="28">
        <f>Assumptions!$C$19</f>
        <v/>
      </c>
      <c r="D13" s="28">
        <f>Assumptions!$C$19</f>
        <v/>
      </c>
      <c r="E13" s="28">
        <f>Assumptions!$C$19</f>
        <v/>
      </c>
      <c r="F13" s="28">
        <f>Assumptions!$C$19</f>
        <v/>
      </c>
      <c r="G13" s="28">
        <f>Assumptions!$C$19</f>
        <v/>
      </c>
      <c r="H13" s="28">
        <f>Assumptions!$C$19</f>
        <v/>
      </c>
      <c r="I13" s="28">
        <f>Assumptions!$C$19</f>
        <v/>
      </c>
      <c r="J13" s="28">
        <f>Assumptions!$C$19</f>
        <v/>
      </c>
      <c r="K13" s="28">
        <f>Assumptions!$C$19</f>
        <v/>
      </c>
      <c r="L13" s="28">
        <f>Assumptions!$C$19</f>
        <v/>
      </c>
      <c r="M13" s="28">
        <f>Assumptions!$C$19</f>
        <v/>
      </c>
      <c r="N13" s="28">
        <f>Assumptions!$C$19</f>
        <v/>
      </c>
      <c r="O13" s="28">
        <f>Assumptions!$C$19</f>
        <v/>
      </c>
      <c r="P13" s="28">
        <f>Assumptions!$C$19</f>
        <v/>
      </c>
      <c r="Q13" s="28">
        <f>Assumptions!$C$19</f>
        <v/>
      </c>
      <c r="R13" s="28">
        <f>Assumptions!$C$19</f>
        <v/>
      </c>
      <c r="S13" s="28">
        <f>Assumptions!$C$19</f>
        <v/>
      </c>
      <c r="T13" s="28">
        <f>Assumptions!$C$19</f>
        <v/>
      </c>
      <c r="U13" s="28">
        <f>Assumptions!$C$19</f>
        <v/>
      </c>
      <c r="V13" s="28">
        <f>Assumptions!$C$19</f>
        <v/>
      </c>
      <c r="W13" s="28">
        <f>Assumptions!$C$19</f>
        <v/>
      </c>
      <c r="X13" s="28">
        <f>Assumptions!$C$19</f>
        <v/>
      </c>
      <c r="Y13" s="28">
        <f>Assumptions!$C$19</f>
        <v/>
      </c>
      <c r="Z13" s="28">
        <f>Assumptions!$C$19</f>
        <v/>
      </c>
      <c r="AA13" s="28">
        <f>Assumptions!$C$19</f>
        <v/>
      </c>
      <c r="AB13" s="28">
        <f>Assumptions!$C$19</f>
        <v/>
      </c>
      <c r="AC13" s="28">
        <f>Assumptions!$C$19</f>
        <v/>
      </c>
      <c r="AD13" s="28">
        <f>Assumptions!$C$19</f>
        <v/>
      </c>
      <c r="AE13" s="28">
        <f>Assumptions!$C$19</f>
        <v/>
      </c>
      <c r="AF13" s="28">
        <f>Assumptions!$C$19</f>
        <v/>
      </c>
      <c r="AG13" s="28">
        <f>Assumptions!$C$19</f>
        <v/>
      </c>
      <c r="AH13" s="28">
        <f>Assumptions!$C$19</f>
        <v/>
      </c>
      <c r="AI13" s="28">
        <f>Assumptions!$C$19</f>
        <v/>
      </c>
      <c r="AJ13" s="28">
        <f>Assumptions!$C$19</f>
        <v/>
      </c>
      <c r="AK13" s="28">
        <f>Assumptions!$C$19</f>
        <v/>
      </c>
    </row>
    <row r="14">
      <c r="A14" s="4" t="inlineStr">
        <is>
          <t>TOTAL MONTHLY OPEX</t>
        </is>
      </c>
      <c r="B14" s="11">
        <f>SUM(B9:B13)</f>
        <v/>
      </c>
      <c r="C14" s="11">
        <f>SUM(C9:C13)</f>
        <v/>
      </c>
      <c r="D14" s="11">
        <f>SUM(D9:D13)</f>
        <v/>
      </c>
      <c r="E14" s="11">
        <f>SUM(E9:E13)</f>
        <v/>
      </c>
      <c r="F14" s="11">
        <f>SUM(F9:F13)</f>
        <v/>
      </c>
      <c r="G14" s="11">
        <f>SUM(G9:G13)</f>
        <v/>
      </c>
      <c r="H14" s="11">
        <f>SUM(H9:H13)</f>
        <v/>
      </c>
      <c r="I14" s="11">
        <f>SUM(I9:I13)</f>
        <v/>
      </c>
      <c r="J14" s="11">
        <f>SUM(J9:J13)</f>
        <v/>
      </c>
      <c r="K14" s="11">
        <f>SUM(K9:K13)</f>
        <v/>
      </c>
      <c r="L14" s="11">
        <f>SUM(L9:L13)</f>
        <v/>
      </c>
      <c r="M14" s="11">
        <f>SUM(M9:M13)</f>
        <v/>
      </c>
      <c r="N14" s="11">
        <f>SUM(N9:N13)</f>
        <v/>
      </c>
      <c r="O14" s="11">
        <f>SUM(O9:O13)</f>
        <v/>
      </c>
      <c r="P14" s="11">
        <f>SUM(P9:P13)</f>
        <v/>
      </c>
      <c r="Q14" s="11">
        <f>SUM(Q9:Q13)</f>
        <v/>
      </c>
      <c r="R14" s="11">
        <f>SUM(R9:R13)</f>
        <v/>
      </c>
      <c r="S14" s="11">
        <f>SUM(S9:S13)</f>
        <v/>
      </c>
      <c r="T14" s="11">
        <f>SUM(T9:T13)</f>
        <v/>
      </c>
      <c r="U14" s="11">
        <f>SUM(U9:U13)</f>
        <v/>
      </c>
      <c r="V14" s="11">
        <f>SUM(V9:V13)</f>
        <v/>
      </c>
      <c r="W14" s="11">
        <f>SUM(W9:W13)</f>
        <v/>
      </c>
      <c r="X14" s="11">
        <f>SUM(X9:X13)</f>
        <v/>
      </c>
      <c r="Y14" s="11">
        <f>SUM(Y9:Y13)</f>
        <v/>
      </c>
      <c r="Z14" s="11">
        <f>SUM(Z9:Z13)</f>
        <v/>
      </c>
      <c r="AA14" s="11">
        <f>SUM(AA9:AA13)</f>
        <v/>
      </c>
      <c r="AB14" s="11">
        <f>SUM(AB9:AB13)</f>
        <v/>
      </c>
      <c r="AC14" s="11">
        <f>SUM(AC9:AC13)</f>
        <v/>
      </c>
      <c r="AD14" s="11">
        <f>SUM(AD9:AD13)</f>
        <v/>
      </c>
      <c r="AE14" s="11">
        <f>SUM(AE9:AE13)</f>
        <v/>
      </c>
      <c r="AF14" s="11">
        <f>SUM(AF9:AF13)</f>
        <v/>
      </c>
      <c r="AG14" s="11">
        <f>SUM(AG9:AG13)</f>
        <v/>
      </c>
      <c r="AH14" s="11">
        <f>SUM(AH9:AH13)</f>
        <v/>
      </c>
      <c r="AI14" s="11">
        <f>SUM(AI9:AI13)</f>
        <v/>
      </c>
      <c r="AJ14" s="11">
        <f>SUM(AJ9:AJ13)</f>
        <v/>
      </c>
      <c r="AK14" s="11">
        <f>SUM(AK9:AK13)</f>
        <v/>
      </c>
    </row>
    <row r="15">
      <c r="A15" s="1" t="inlineStr">
        <is>
          <t>MONTHLY OPERATING EBITDA</t>
        </is>
      </c>
      <c r="B15" s="29">
        <f>B8-B14</f>
        <v/>
      </c>
      <c r="C15" s="29">
        <f>C8-C14</f>
        <v/>
      </c>
      <c r="D15" s="29">
        <f>D8-D14</f>
        <v/>
      </c>
      <c r="E15" s="29">
        <f>E8-E14</f>
        <v/>
      </c>
      <c r="F15" s="29">
        <f>F8-F14</f>
        <v/>
      </c>
      <c r="G15" s="29">
        <f>G8-G14</f>
        <v/>
      </c>
      <c r="H15" s="29">
        <f>H8-H14</f>
        <v/>
      </c>
      <c r="I15" s="29">
        <f>I8-I14</f>
        <v/>
      </c>
      <c r="J15" s="29">
        <f>J8-J14</f>
        <v/>
      </c>
      <c r="K15" s="29">
        <f>K8-K14</f>
        <v/>
      </c>
      <c r="L15" s="29">
        <f>L8-L14</f>
        <v/>
      </c>
      <c r="M15" s="29">
        <f>M8-M14</f>
        <v/>
      </c>
      <c r="N15" s="29">
        <f>N8-N14</f>
        <v/>
      </c>
      <c r="O15" s="29">
        <f>O8-O14</f>
        <v/>
      </c>
      <c r="P15" s="29">
        <f>P8-P14</f>
        <v/>
      </c>
      <c r="Q15" s="29">
        <f>Q8-Q14</f>
        <v/>
      </c>
      <c r="R15" s="29">
        <f>R8-R14</f>
        <v/>
      </c>
      <c r="S15" s="29">
        <f>S8-S14</f>
        <v/>
      </c>
      <c r="T15" s="29">
        <f>T8-T14</f>
        <v/>
      </c>
      <c r="U15" s="29">
        <f>U8-U14</f>
        <v/>
      </c>
      <c r="V15" s="29">
        <f>V8-V14</f>
        <v/>
      </c>
      <c r="W15" s="29">
        <f>W8-W14</f>
        <v/>
      </c>
      <c r="X15" s="29">
        <f>X8-X14</f>
        <v/>
      </c>
      <c r="Y15" s="29">
        <f>Y8-Y14</f>
        <v/>
      </c>
      <c r="Z15" s="29">
        <f>Z8-Z14</f>
        <v/>
      </c>
      <c r="AA15" s="29">
        <f>AA8-AA14</f>
        <v/>
      </c>
      <c r="AB15" s="29">
        <f>AB8-AB14</f>
        <v/>
      </c>
      <c r="AC15" s="29">
        <f>AC8-AC14</f>
        <v/>
      </c>
      <c r="AD15" s="29">
        <f>AD8-AD14</f>
        <v/>
      </c>
      <c r="AE15" s="29">
        <f>AE8-AE14</f>
        <v/>
      </c>
      <c r="AF15" s="29">
        <f>AF8-AF14</f>
        <v/>
      </c>
      <c r="AG15" s="29">
        <f>AG8-AG14</f>
        <v/>
      </c>
      <c r="AH15" s="29">
        <f>AH8-AH14</f>
        <v/>
      </c>
      <c r="AI15" s="29">
        <f>AI8-AI14</f>
        <v/>
      </c>
      <c r="AJ15" s="29">
        <f>AJ8-AJ14</f>
        <v/>
      </c>
      <c r="AK15" s="29">
        <f>AK8-AK14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Franchisor Central Unit P&amp;L (Per Franchise Territory)</t>
        </is>
      </c>
    </row>
    <row r="2">
      <c r="A2" s="2" t="inlineStr">
        <is>
          <t>Franchisor 60% retained revenue from territory minus central cloud hosting and support allocation.</t>
        </is>
      </c>
    </row>
    <row r="3"/>
    <row r="4"/>
    <row r="5">
      <c r="A5" s="10" t="inlineStr">
        <is>
          <t>Franchisor Stream</t>
        </is>
      </c>
      <c r="B5" s="10" t="inlineStr">
        <is>
          <t>M01</t>
        </is>
      </c>
      <c r="C5" s="10" t="inlineStr">
        <is>
          <t>M02</t>
        </is>
      </c>
      <c r="D5" s="10" t="inlineStr">
        <is>
          <t>M03</t>
        </is>
      </c>
      <c r="E5" s="10" t="inlineStr">
        <is>
          <t>M04</t>
        </is>
      </c>
      <c r="F5" s="10" t="inlineStr">
        <is>
          <t>M05</t>
        </is>
      </c>
      <c r="G5" s="10" t="inlineStr">
        <is>
          <t>M06</t>
        </is>
      </c>
      <c r="H5" s="10" t="inlineStr">
        <is>
          <t>M07</t>
        </is>
      </c>
      <c r="I5" s="10" t="inlineStr">
        <is>
          <t>M08</t>
        </is>
      </c>
      <c r="J5" s="10" t="inlineStr">
        <is>
          <t>M09</t>
        </is>
      </c>
      <c r="K5" s="10" t="inlineStr">
        <is>
          <t>M10</t>
        </is>
      </c>
      <c r="L5" s="10" t="inlineStr">
        <is>
          <t>M11</t>
        </is>
      </c>
      <c r="M5" s="10" t="inlineStr">
        <is>
          <t>M12</t>
        </is>
      </c>
      <c r="N5" s="10" t="inlineStr">
        <is>
          <t>M13</t>
        </is>
      </c>
      <c r="O5" s="10" t="inlineStr">
        <is>
          <t>M14</t>
        </is>
      </c>
      <c r="P5" s="10" t="inlineStr">
        <is>
          <t>M15</t>
        </is>
      </c>
      <c r="Q5" s="10" t="inlineStr">
        <is>
          <t>M16</t>
        </is>
      </c>
      <c r="R5" s="10" t="inlineStr">
        <is>
          <t>M17</t>
        </is>
      </c>
      <c r="S5" s="10" t="inlineStr">
        <is>
          <t>M18</t>
        </is>
      </c>
      <c r="T5" s="10" t="inlineStr">
        <is>
          <t>M19</t>
        </is>
      </c>
      <c r="U5" s="10" t="inlineStr">
        <is>
          <t>M20</t>
        </is>
      </c>
      <c r="V5" s="10" t="inlineStr">
        <is>
          <t>M21</t>
        </is>
      </c>
      <c r="W5" s="10" t="inlineStr">
        <is>
          <t>M22</t>
        </is>
      </c>
      <c r="X5" s="10" t="inlineStr">
        <is>
          <t>M23</t>
        </is>
      </c>
      <c r="Y5" s="10" t="inlineStr">
        <is>
          <t>M24</t>
        </is>
      </c>
      <c r="Z5" s="10" t="inlineStr">
        <is>
          <t>M25</t>
        </is>
      </c>
      <c r="AA5" s="10" t="inlineStr">
        <is>
          <t>M26</t>
        </is>
      </c>
      <c r="AB5" s="10" t="inlineStr">
        <is>
          <t>M27</t>
        </is>
      </c>
      <c r="AC5" s="10" t="inlineStr">
        <is>
          <t>M28</t>
        </is>
      </c>
      <c r="AD5" s="10" t="inlineStr">
        <is>
          <t>M29</t>
        </is>
      </c>
      <c r="AE5" s="10" t="inlineStr">
        <is>
          <t>M30</t>
        </is>
      </c>
      <c r="AF5" s="10" t="inlineStr">
        <is>
          <t>M31</t>
        </is>
      </c>
      <c r="AG5" s="10" t="inlineStr">
        <is>
          <t>M32</t>
        </is>
      </c>
      <c r="AH5" s="10" t="inlineStr">
        <is>
          <t>M33</t>
        </is>
      </c>
      <c r="AI5" s="10" t="inlineStr">
        <is>
          <t>M34</t>
        </is>
      </c>
      <c r="AJ5" s="10" t="inlineStr">
        <is>
          <t>M35</t>
        </is>
      </c>
      <c r="AK5" s="10" t="inlineStr">
        <is>
          <t>M36</t>
        </is>
      </c>
    </row>
    <row r="6">
      <c r="A6" s="7" t="inlineStr">
        <is>
          <t>Retained License Revenue (60%)</t>
        </is>
      </c>
      <c r="B6" s="28">
        <f>'Monthly Sales Forecast'!B10*Assumptions!$C$24</f>
        <v/>
      </c>
      <c r="C6" s="28">
        <f>'Monthly Sales Forecast'!C10*Assumptions!$C$24</f>
        <v/>
      </c>
      <c r="D6" s="28">
        <f>'Monthly Sales Forecast'!D10*Assumptions!$C$24</f>
        <v/>
      </c>
      <c r="E6" s="28">
        <f>'Monthly Sales Forecast'!E10*Assumptions!$C$24</f>
        <v/>
      </c>
      <c r="F6" s="28">
        <f>'Monthly Sales Forecast'!F10*Assumptions!$C$24</f>
        <v/>
      </c>
      <c r="G6" s="28">
        <f>'Monthly Sales Forecast'!G10*Assumptions!$C$24</f>
        <v/>
      </c>
      <c r="H6" s="28">
        <f>'Monthly Sales Forecast'!H10*Assumptions!$C$24</f>
        <v/>
      </c>
      <c r="I6" s="28">
        <f>'Monthly Sales Forecast'!I10*Assumptions!$C$24</f>
        <v/>
      </c>
      <c r="J6" s="28">
        <f>'Monthly Sales Forecast'!J10*Assumptions!$C$24</f>
        <v/>
      </c>
      <c r="K6" s="28">
        <f>'Monthly Sales Forecast'!K10*Assumptions!$C$24</f>
        <v/>
      </c>
      <c r="L6" s="28">
        <f>'Monthly Sales Forecast'!L10*Assumptions!$C$24</f>
        <v/>
      </c>
      <c r="M6" s="28">
        <f>'Monthly Sales Forecast'!M10*Assumptions!$C$24</f>
        <v/>
      </c>
      <c r="N6" s="28">
        <f>'Monthly Sales Forecast'!N10*Assumptions!$C$24</f>
        <v/>
      </c>
      <c r="O6" s="28">
        <f>'Monthly Sales Forecast'!O10*Assumptions!$C$24</f>
        <v/>
      </c>
      <c r="P6" s="28">
        <f>'Monthly Sales Forecast'!P10*Assumptions!$C$24</f>
        <v/>
      </c>
      <c r="Q6" s="28">
        <f>'Monthly Sales Forecast'!Q10*Assumptions!$C$24</f>
        <v/>
      </c>
      <c r="R6" s="28">
        <f>'Monthly Sales Forecast'!R10*Assumptions!$C$24</f>
        <v/>
      </c>
      <c r="S6" s="28">
        <f>'Monthly Sales Forecast'!S10*Assumptions!$C$24</f>
        <v/>
      </c>
      <c r="T6" s="28">
        <f>'Monthly Sales Forecast'!T10*Assumptions!$C$24</f>
        <v/>
      </c>
      <c r="U6" s="28">
        <f>'Monthly Sales Forecast'!U10*Assumptions!$C$24</f>
        <v/>
      </c>
      <c r="V6" s="28">
        <f>'Monthly Sales Forecast'!V10*Assumptions!$C$24</f>
        <v/>
      </c>
      <c r="W6" s="28">
        <f>'Monthly Sales Forecast'!W10*Assumptions!$C$24</f>
        <v/>
      </c>
      <c r="X6" s="28">
        <f>'Monthly Sales Forecast'!X10*Assumptions!$C$24</f>
        <v/>
      </c>
      <c r="Y6" s="28">
        <f>'Monthly Sales Forecast'!Y10*Assumptions!$C$24</f>
        <v/>
      </c>
      <c r="Z6" s="28">
        <f>'Monthly Sales Forecast'!Z10*Assumptions!$C$24</f>
        <v/>
      </c>
      <c r="AA6" s="28">
        <f>'Monthly Sales Forecast'!AA10*Assumptions!$C$24</f>
        <v/>
      </c>
      <c r="AB6" s="28">
        <f>'Monthly Sales Forecast'!AB10*Assumptions!$C$24</f>
        <v/>
      </c>
      <c r="AC6" s="28">
        <f>'Monthly Sales Forecast'!AC10*Assumptions!$C$24</f>
        <v/>
      </c>
      <c r="AD6" s="28">
        <f>'Monthly Sales Forecast'!AD10*Assumptions!$C$24</f>
        <v/>
      </c>
      <c r="AE6" s="28">
        <f>'Monthly Sales Forecast'!AE10*Assumptions!$C$24</f>
        <v/>
      </c>
      <c r="AF6" s="28">
        <f>'Monthly Sales Forecast'!AF10*Assumptions!$C$24</f>
        <v/>
      </c>
      <c r="AG6" s="28">
        <f>'Monthly Sales Forecast'!AG10*Assumptions!$C$24</f>
        <v/>
      </c>
      <c r="AH6" s="28">
        <f>'Monthly Sales Forecast'!AH10*Assumptions!$C$24</f>
        <v/>
      </c>
      <c r="AI6" s="28">
        <f>'Monthly Sales Forecast'!AI10*Assumptions!$C$24</f>
        <v/>
      </c>
      <c r="AJ6" s="28">
        <f>'Monthly Sales Forecast'!AJ10*Assumptions!$C$24</f>
        <v/>
      </c>
      <c r="AK6" s="28">
        <f>'Monthly Sales Forecast'!AK10*Assumptions!$C$24</f>
        <v/>
      </c>
    </row>
    <row r="7">
      <c r="A7" s="7" t="inlineStr">
        <is>
          <t>Retained Renewal Revenue (60%)</t>
        </is>
      </c>
      <c r="B7" s="28">
        <f>'Monthly Sales Forecast'!B11*Assumptions!$C$26</f>
        <v/>
      </c>
      <c r="C7" s="28">
        <f>'Monthly Sales Forecast'!C11*Assumptions!$C$26</f>
        <v/>
      </c>
      <c r="D7" s="28">
        <f>'Monthly Sales Forecast'!D11*Assumptions!$C$26</f>
        <v/>
      </c>
      <c r="E7" s="28">
        <f>'Monthly Sales Forecast'!E11*Assumptions!$C$26</f>
        <v/>
      </c>
      <c r="F7" s="28">
        <f>'Monthly Sales Forecast'!F11*Assumptions!$C$26</f>
        <v/>
      </c>
      <c r="G7" s="28">
        <f>'Monthly Sales Forecast'!G11*Assumptions!$C$26</f>
        <v/>
      </c>
      <c r="H7" s="28">
        <f>'Monthly Sales Forecast'!H11*Assumptions!$C$26</f>
        <v/>
      </c>
      <c r="I7" s="28">
        <f>'Monthly Sales Forecast'!I11*Assumptions!$C$26</f>
        <v/>
      </c>
      <c r="J7" s="28">
        <f>'Monthly Sales Forecast'!J11*Assumptions!$C$26</f>
        <v/>
      </c>
      <c r="K7" s="28">
        <f>'Monthly Sales Forecast'!K11*Assumptions!$C$26</f>
        <v/>
      </c>
      <c r="L7" s="28">
        <f>'Monthly Sales Forecast'!L11*Assumptions!$C$26</f>
        <v/>
      </c>
      <c r="M7" s="28">
        <f>'Monthly Sales Forecast'!M11*Assumptions!$C$26</f>
        <v/>
      </c>
      <c r="N7" s="28">
        <f>'Monthly Sales Forecast'!N11*Assumptions!$C$26</f>
        <v/>
      </c>
      <c r="O7" s="28">
        <f>'Monthly Sales Forecast'!O11*Assumptions!$C$26</f>
        <v/>
      </c>
      <c r="P7" s="28">
        <f>'Monthly Sales Forecast'!P11*Assumptions!$C$26</f>
        <v/>
      </c>
      <c r="Q7" s="28">
        <f>'Monthly Sales Forecast'!Q11*Assumptions!$C$26</f>
        <v/>
      </c>
      <c r="R7" s="28">
        <f>'Monthly Sales Forecast'!R11*Assumptions!$C$26</f>
        <v/>
      </c>
      <c r="S7" s="28">
        <f>'Monthly Sales Forecast'!S11*Assumptions!$C$26</f>
        <v/>
      </c>
      <c r="T7" s="28">
        <f>'Monthly Sales Forecast'!T11*Assumptions!$C$26</f>
        <v/>
      </c>
      <c r="U7" s="28">
        <f>'Monthly Sales Forecast'!U11*Assumptions!$C$26</f>
        <v/>
      </c>
      <c r="V7" s="28">
        <f>'Monthly Sales Forecast'!V11*Assumptions!$C$26</f>
        <v/>
      </c>
      <c r="W7" s="28">
        <f>'Monthly Sales Forecast'!W11*Assumptions!$C$26</f>
        <v/>
      </c>
      <c r="X7" s="28">
        <f>'Monthly Sales Forecast'!X11*Assumptions!$C$26</f>
        <v/>
      </c>
      <c r="Y7" s="28">
        <f>'Monthly Sales Forecast'!Y11*Assumptions!$C$26</f>
        <v/>
      </c>
      <c r="Z7" s="28">
        <f>'Monthly Sales Forecast'!Z11*Assumptions!$C$26</f>
        <v/>
      </c>
      <c r="AA7" s="28">
        <f>'Monthly Sales Forecast'!AA11*Assumptions!$C$26</f>
        <v/>
      </c>
      <c r="AB7" s="28">
        <f>'Monthly Sales Forecast'!AB11*Assumptions!$C$26</f>
        <v/>
      </c>
      <c r="AC7" s="28">
        <f>'Monthly Sales Forecast'!AC11*Assumptions!$C$26</f>
        <v/>
      </c>
      <c r="AD7" s="28">
        <f>'Monthly Sales Forecast'!AD11*Assumptions!$C$26</f>
        <v/>
      </c>
      <c r="AE7" s="28">
        <f>'Monthly Sales Forecast'!AE11*Assumptions!$C$26</f>
        <v/>
      </c>
      <c r="AF7" s="28">
        <f>'Monthly Sales Forecast'!AF11*Assumptions!$C$26</f>
        <v/>
      </c>
      <c r="AG7" s="28">
        <f>'Monthly Sales Forecast'!AG11*Assumptions!$C$26</f>
        <v/>
      </c>
      <c r="AH7" s="28">
        <f>'Monthly Sales Forecast'!AH11*Assumptions!$C$26</f>
        <v/>
      </c>
      <c r="AI7" s="28">
        <f>'Monthly Sales Forecast'!AI11*Assumptions!$C$26</f>
        <v/>
      </c>
      <c r="AJ7" s="28">
        <f>'Monthly Sales Forecast'!AJ11*Assumptions!$C$26</f>
        <v/>
      </c>
      <c r="AK7" s="28">
        <f>'Monthly Sales Forecast'!AK11*Assumptions!$C$26</f>
        <v/>
      </c>
    </row>
    <row r="8">
      <c r="A8" s="4" t="inlineStr">
        <is>
          <t>TOTAL CENTRAL REVENUE</t>
        </is>
      </c>
      <c r="B8" s="14">
        <f>B6+B7</f>
        <v/>
      </c>
      <c r="C8" s="14">
        <f>C6+C7</f>
        <v/>
      </c>
      <c r="D8" s="14">
        <f>D6+D7</f>
        <v/>
      </c>
      <c r="E8" s="14">
        <f>E6+E7</f>
        <v/>
      </c>
      <c r="F8" s="14">
        <f>F6+F7</f>
        <v/>
      </c>
      <c r="G8" s="14">
        <f>G6+G7</f>
        <v/>
      </c>
      <c r="H8" s="14">
        <f>H6+H7</f>
        <v/>
      </c>
      <c r="I8" s="14">
        <f>I6+I7</f>
        <v/>
      </c>
      <c r="J8" s="14">
        <f>J6+J7</f>
        <v/>
      </c>
      <c r="K8" s="14">
        <f>K6+K7</f>
        <v/>
      </c>
      <c r="L8" s="14">
        <f>L6+L7</f>
        <v/>
      </c>
      <c r="M8" s="14">
        <f>M6+M7</f>
        <v/>
      </c>
      <c r="N8" s="14">
        <f>N6+N7</f>
        <v/>
      </c>
      <c r="O8" s="14">
        <f>O6+O7</f>
        <v/>
      </c>
      <c r="P8" s="14">
        <f>P6+P7</f>
        <v/>
      </c>
      <c r="Q8" s="14">
        <f>Q6+Q7</f>
        <v/>
      </c>
      <c r="R8" s="14">
        <f>R6+R7</f>
        <v/>
      </c>
      <c r="S8" s="14">
        <f>S6+S7</f>
        <v/>
      </c>
      <c r="T8" s="14">
        <f>T6+T7</f>
        <v/>
      </c>
      <c r="U8" s="14">
        <f>U6+U7</f>
        <v/>
      </c>
      <c r="V8" s="14">
        <f>V6+V7</f>
        <v/>
      </c>
      <c r="W8" s="14">
        <f>W6+W7</f>
        <v/>
      </c>
      <c r="X8" s="14">
        <f>X6+X7</f>
        <v/>
      </c>
      <c r="Y8" s="14">
        <f>Y6+Y7</f>
        <v/>
      </c>
      <c r="Z8" s="14">
        <f>Z6+Z7</f>
        <v/>
      </c>
      <c r="AA8" s="14">
        <f>AA6+AA7</f>
        <v/>
      </c>
      <c r="AB8" s="14">
        <f>AB6+AB7</f>
        <v/>
      </c>
      <c r="AC8" s="14">
        <f>AC6+AC7</f>
        <v/>
      </c>
      <c r="AD8" s="14">
        <f>AD6+AD7</f>
        <v/>
      </c>
      <c r="AE8" s="14">
        <f>AE6+AE7</f>
        <v/>
      </c>
      <c r="AF8" s="14">
        <f>AF6+AF7</f>
        <v/>
      </c>
      <c r="AG8" s="14">
        <f>AG6+AG7</f>
        <v/>
      </c>
      <c r="AH8" s="14">
        <f>AH6+AH7</f>
        <v/>
      </c>
      <c r="AI8" s="14">
        <f>AI6+AI7</f>
        <v/>
      </c>
      <c r="AJ8" s="14">
        <f>AJ6+AJ7</f>
        <v/>
      </c>
      <c r="AK8" s="14">
        <f>AK6+AK7</f>
        <v/>
      </c>
    </row>
    <row r="9">
      <c r="A9" s="7" t="inlineStr">
        <is>
          <t>Central Cloud Infrastructure (AWS/Servers)</t>
        </is>
      </c>
      <c r="B9" s="28">
        <f>'Monthly Sales Forecast'!B8*500</f>
        <v/>
      </c>
      <c r="C9" s="28">
        <f>'Monthly Sales Forecast'!C8*500</f>
        <v/>
      </c>
      <c r="D9" s="28">
        <f>'Monthly Sales Forecast'!D8*500</f>
        <v/>
      </c>
      <c r="E9" s="28">
        <f>'Monthly Sales Forecast'!E8*500</f>
        <v/>
      </c>
      <c r="F9" s="28">
        <f>'Monthly Sales Forecast'!F8*500</f>
        <v/>
      </c>
      <c r="G9" s="28">
        <f>'Monthly Sales Forecast'!G8*500</f>
        <v/>
      </c>
      <c r="H9" s="28">
        <f>'Monthly Sales Forecast'!H8*500</f>
        <v/>
      </c>
      <c r="I9" s="28">
        <f>'Monthly Sales Forecast'!I8*500</f>
        <v/>
      </c>
      <c r="J9" s="28">
        <f>'Monthly Sales Forecast'!J8*500</f>
        <v/>
      </c>
      <c r="K9" s="28">
        <f>'Monthly Sales Forecast'!K8*500</f>
        <v/>
      </c>
      <c r="L9" s="28">
        <f>'Monthly Sales Forecast'!L8*500</f>
        <v/>
      </c>
      <c r="M9" s="28">
        <f>'Monthly Sales Forecast'!M8*500</f>
        <v/>
      </c>
      <c r="N9" s="28">
        <f>'Monthly Sales Forecast'!N8*500</f>
        <v/>
      </c>
      <c r="O9" s="28">
        <f>'Monthly Sales Forecast'!O8*500</f>
        <v/>
      </c>
      <c r="P9" s="28">
        <f>'Monthly Sales Forecast'!P8*500</f>
        <v/>
      </c>
      <c r="Q9" s="28">
        <f>'Monthly Sales Forecast'!Q8*500</f>
        <v/>
      </c>
      <c r="R9" s="28">
        <f>'Monthly Sales Forecast'!R8*500</f>
        <v/>
      </c>
      <c r="S9" s="28">
        <f>'Monthly Sales Forecast'!S8*500</f>
        <v/>
      </c>
      <c r="T9" s="28">
        <f>'Monthly Sales Forecast'!T8*500</f>
        <v/>
      </c>
      <c r="U9" s="28">
        <f>'Monthly Sales Forecast'!U8*500</f>
        <v/>
      </c>
      <c r="V9" s="28">
        <f>'Monthly Sales Forecast'!V8*500</f>
        <v/>
      </c>
      <c r="W9" s="28">
        <f>'Monthly Sales Forecast'!W8*500</f>
        <v/>
      </c>
      <c r="X9" s="28">
        <f>'Monthly Sales Forecast'!X8*500</f>
        <v/>
      </c>
      <c r="Y9" s="28">
        <f>'Monthly Sales Forecast'!Y8*500</f>
        <v/>
      </c>
      <c r="Z9" s="28">
        <f>'Monthly Sales Forecast'!Z8*500</f>
        <v/>
      </c>
      <c r="AA9" s="28">
        <f>'Monthly Sales Forecast'!AA8*500</f>
        <v/>
      </c>
      <c r="AB9" s="28">
        <f>'Monthly Sales Forecast'!AB8*500</f>
        <v/>
      </c>
      <c r="AC9" s="28">
        <f>'Monthly Sales Forecast'!AC8*500</f>
        <v/>
      </c>
      <c r="AD9" s="28">
        <f>'Monthly Sales Forecast'!AD8*500</f>
        <v/>
      </c>
      <c r="AE9" s="28">
        <f>'Monthly Sales Forecast'!AE8*500</f>
        <v/>
      </c>
      <c r="AF9" s="28">
        <f>'Monthly Sales Forecast'!AF8*500</f>
        <v/>
      </c>
      <c r="AG9" s="28">
        <f>'Monthly Sales Forecast'!AG8*500</f>
        <v/>
      </c>
      <c r="AH9" s="28">
        <f>'Monthly Sales Forecast'!AH8*500</f>
        <v/>
      </c>
      <c r="AI9" s="28">
        <f>'Monthly Sales Forecast'!AI8*500</f>
        <v/>
      </c>
      <c r="AJ9" s="28">
        <f>'Monthly Sales Forecast'!AJ8*500</f>
        <v/>
      </c>
      <c r="AK9" s="28">
        <f>'Monthly Sales Forecast'!AK8*500</f>
        <v/>
      </c>
    </row>
    <row r="10">
      <c r="A10" s="7" t="inlineStr">
        <is>
          <t>Dedicated Level-2/3 Support Allocation</t>
        </is>
      </c>
      <c r="B10" s="28">
        <f>10000</f>
        <v/>
      </c>
      <c r="C10" s="28">
        <f>10000</f>
        <v/>
      </c>
      <c r="D10" s="28">
        <f>10000</f>
        <v/>
      </c>
      <c r="E10" s="28">
        <f>10000</f>
        <v/>
      </c>
      <c r="F10" s="28">
        <f>10000</f>
        <v/>
      </c>
      <c r="G10" s="28">
        <f>10000</f>
        <v/>
      </c>
      <c r="H10" s="28">
        <f>10000</f>
        <v/>
      </c>
      <c r="I10" s="28">
        <f>10000</f>
        <v/>
      </c>
      <c r="J10" s="28">
        <f>10000</f>
        <v/>
      </c>
      <c r="K10" s="28">
        <f>10000</f>
        <v/>
      </c>
      <c r="L10" s="28">
        <f>10000</f>
        <v/>
      </c>
      <c r="M10" s="28">
        <f>10000</f>
        <v/>
      </c>
      <c r="N10" s="28">
        <f>10000</f>
        <v/>
      </c>
      <c r="O10" s="28">
        <f>10000</f>
        <v/>
      </c>
      <c r="P10" s="28">
        <f>10000</f>
        <v/>
      </c>
      <c r="Q10" s="28">
        <f>10000</f>
        <v/>
      </c>
      <c r="R10" s="28">
        <f>10000</f>
        <v/>
      </c>
      <c r="S10" s="28">
        <f>10000</f>
        <v/>
      </c>
      <c r="T10" s="28">
        <f>10000</f>
        <v/>
      </c>
      <c r="U10" s="28">
        <f>10000</f>
        <v/>
      </c>
      <c r="V10" s="28">
        <f>10000</f>
        <v/>
      </c>
      <c r="W10" s="28">
        <f>10000</f>
        <v/>
      </c>
      <c r="X10" s="28">
        <f>10000</f>
        <v/>
      </c>
      <c r="Y10" s="28">
        <f>10000</f>
        <v/>
      </c>
      <c r="Z10" s="28">
        <f>10000</f>
        <v/>
      </c>
      <c r="AA10" s="28">
        <f>10000</f>
        <v/>
      </c>
      <c r="AB10" s="28">
        <f>10000</f>
        <v/>
      </c>
      <c r="AC10" s="28">
        <f>10000</f>
        <v/>
      </c>
      <c r="AD10" s="28">
        <f>10000</f>
        <v/>
      </c>
      <c r="AE10" s="28">
        <f>10000</f>
        <v/>
      </c>
      <c r="AF10" s="28">
        <f>10000</f>
        <v/>
      </c>
      <c r="AG10" s="28">
        <f>10000</f>
        <v/>
      </c>
      <c r="AH10" s="28">
        <f>10000</f>
        <v/>
      </c>
      <c r="AI10" s="28">
        <f>10000</f>
        <v/>
      </c>
      <c r="AJ10" s="28">
        <f>10000</f>
        <v/>
      </c>
      <c r="AK10" s="28">
        <f>10000</f>
        <v/>
      </c>
    </row>
    <row r="11">
      <c r="A11" s="4" t="inlineStr">
        <is>
          <t>TOTAL DIRECT CENTRAL COSTS</t>
        </is>
      </c>
      <c r="B11" s="14">
        <f>SUM(B9:B10)</f>
        <v/>
      </c>
      <c r="C11" s="14">
        <f>SUM(C9:C10)</f>
        <v/>
      </c>
      <c r="D11" s="14">
        <f>SUM(D9:D10)</f>
        <v/>
      </c>
      <c r="E11" s="14">
        <f>SUM(E9:E10)</f>
        <v/>
      </c>
      <c r="F11" s="14">
        <f>SUM(F9:F10)</f>
        <v/>
      </c>
      <c r="G11" s="14">
        <f>SUM(G9:G10)</f>
        <v/>
      </c>
      <c r="H11" s="14">
        <f>SUM(H9:H10)</f>
        <v/>
      </c>
      <c r="I11" s="14">
        <f>SUM(I9:I10)</f>
        <v/>
      </c>
      <c r="J11" s="14">
        <f>SUM(J9:J10)</f>
        <v/>
      </c>
      <c r="K11" s="14">
        <f>SUM(K9:K10)</f>
        <v/>
      </c>
      <c r="L11" s="14">
        <f>SUM(L9:L10)</f>
        <v/>
      </c>
      <c r="M11" s="14">
        <f>SUM(M9:M10)</f>
        <v/>
      </c>
      <c r="N11" s="14">
        <f>SUM(N9:N10)</f>
        <v/>
      </c>
      <c r="O11" s="14">
        <f>SUM(O9:O10)</f>
        <v/>
      </c>
      <c r="P11" s="14">
        <f>SUM(P9:P10)</f>
        <v/>
      </c>
      <c r="Q11" s="14">
        <f>SUM(Q9:Q10)</f>
        <v/>
      </c>
      <c r="R11" s="14">
        <f>SUM(R9:R10)</f>
        <v/>
      </c>
      <c r="S11" s="14">
        <f>SUM(S9:S10)</f>
        <v/>
      </c>
      <c r="T11" s="14">
        <f>SUM(T9:T10)</f>
        <v/>
      </c>
      <c r="U11" s="14">
        <f>SUM(U9:U10)</f>
        <v/>
      </c>
      <c r="V11" s="14">
        <f>SUM(V9:V10)</f>
        <v/>
      </c>
      <c r="W11" s="14">
        <f>SUM(W9:W10)</f>
        <v/>
      </c>
      <c r="X11" s="14">
        <f>SUM(X9:X10)</f>
        <v/>
      </c>
      <c r="Y11" s="14">
        <f>SUM(Y9:Y10)</f>
        <v/>
      </c>
      <c r="Z11" s="14">
        <f>SUM(Z9:Z10)</f>
        <v/>
      </c>
      <c r="AA11" s="14">
        <f>SUM(AA9:AA10)</f>
        <v/>
      </c>
      <c r="AB11" s="14">
        <f>SUM(AB9:AB10)</f>
        <v/>
      </c>
      <c r="AC11" s="14">
        <f>SUM(AC9:AC10)</f>
        <v/>
      </c>
      <c r="AD11" s="14">
        <f>SUM(AD9:AD10)</f>
        <v/>
      </c>
      <c r="AE11" s="14">
        <f>SUM(AE9:AE10)</f>
        <v/>
      </c>
      <c r="AF11" s="14">
        <f>SUM(AF9:AF10)</f>
        <v/>
      </c>
      <c r="AG11" s="14">
        <f>SUM(AG9:AG10)</f>
        <v/>
      </c>
      <c r="AH11" s="14">
        <f>SUM(AH9:AH10)</f>
        <v/>
      </c>
      <c r="AI11" s="14">
        <f>SUM(AI9:AI10)</f>
        <v/>
      </c>
      <c r="AJ11" s="14">
        <f>SUM(AJ9:AJ10)</f>
        <v/>
      </c>
      <c r="AK11" s="14">
        <f>SUM(AK9:AK10)</f>
        <v/>
      </c>
    </row>
    <row r="12">
      <c r="A12" s="1" t="inlineStr">
        <is>
          <t>CENTRAL GROSS CONTRIBUTION</t>
        </is>
      </c>
      <c r="B12" s="29">
        <f>B8-B11</f>
        <v/>
      </c>
      <c r="C12" s="29">
        <f>C8-C11</f>
        <v/>
      </c>
      <c r="D12" s="29">
        <f>D8-D11</f>
        <v/>
      </c>
      <c r="E12" s="29">
        <f>E8-E11</f>
        <v/>
      </c>
      <c r="F12" s="29">
        <f>F8-F11</f>
        <v/>
      </c>
      <c r="G12" s="29">
        <f>G8-G11</f>
        <v/>
      </c>
      <c r="H12" s="29">
        <f>H8-H11</f>
        <v/>
      </c>
      <c r="I12" s="29">
        <f>I8-I11</f>
        <v/>
      </c>
      <c r="J12" s="29">
        <f>J8-J11</f>
        <v/>
      </c>
      <c r="K12" s="29">
        <f>K8-K11</f>
        <v/>
      </c>
      <c r="L12" s="29">
        <f>L8-L11</f>
        <v/>
      </c>
      <c r="M12" s="29">
        <f>M8-M11</f>
        <v/>
      </c>
      <c r="N12" s="29">
        <f>N8-N11</f>
        <v/>
      </c>
      <c r="O12" s="29">
        <f>O8-O11</f>
        <v/>
      </c>
      <c r="P12" s="29">
        <f>P8-P11</f>
        <v/>
      </c>
      <c r="Q12" s="29">
        <f>Q8-Q11</f>
        <v/>
      </c>
      <c r="R12" s="29">
        <f>R8-R11</f>
        <v/>
      </c>
      <c r="S12" s="29">
        <f>S8-S11</f>
        <v/>
      </c>
      <c r="T12" s="29">
        <f>T8-T11</f>
        <v/>
      </c>
      <c r="U12" s="29">
        <f>U8-U11</f>
        <v/>
      </c>
      <c r="V12" s="29">
        <f>V8-V11</f>
        <v/>
      </c>
      <c r="W12" s="29">
        <f>W8-W11</f>
        <v/>
      </c>
      <c r="X12" s="29">
        <f>X8-X11</f>
        <v/>
      </c>
      <c r="Y12" s="29">
        <f>Y8-Y11</f>
        <v/>
      </c>
      <c r="Z12" s="29">
        <f>Z8-Z11</f>
        <v/>
      </c>
      <c r="AA12" s="29">
        <f>AA8-AA11</f>
        <v/>
      </c>
      <c r="AB12" s="29">
        <f>AB8-AB11</f>
        <v/>
      </c>
      <c r="AC12" s="29">
        <f>AC8-AC11</f>
        <v/>
      </c>
      <c r="AD12" s="29">
        <f>AD8-AD11</f>
        <v/>
      </c>
      <c r="AE12" s="29">
        <f>AE8-AE11</f>
        <v/>
      </c>
      <c r="AF12" s="29">
        <f>AF8-AF11</f>
        <v/>
      </c>
      <c r="AG12" s="29">
        <f>AG8-AG11</f>
        <v/>
      </c>
      <c r="AH12" s="29">
        <f>AH8-AH11</f>
        <v/>
      </c>
      <c r="AI12" s="29">
        <f>AI8-AI11</f>
        <v/>
      </c>
      <c r="AJ12" s="29">
        <f>AJ8-AJ11</f>
        <v/>
      </c>
      <c r="AK12" s="29">
        <f>AK8-AK11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5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Franchisee Cash Flow &amp; Capital Recovery Trajectory</t>
        </is>
      </c>
    </row>
    <row r="2">
      <c r="A2" s="2" t="inlineStr">
        <is>
          <t>Tracks cash balance from initial capital outlay to cumulative breakeven and ongoing dividends.</t>
        </is>
      </c>
    </row>
    <row r="3"/>
    <row r="4"/>
    <row r="5">
      <c r="A5" s="10" t="inlineStr">
        <is>
          <t>Cash Flow Line Item</t>
        </is>
      </c>
      <c r="B5" s="10" t="inlineStr">
        <is>
          <t>M00 (Launch)</t>
        </is>
      </c>
      <c r="C5" s="10" t="inlineStr">
        <is>
          <t>M01</t>
        </is>
      </c>
      <c r="D5" s="10" t="inlineStr">
        <is>
          <t>M02</t>
        </is>
      </c>
      <c r="E5" s="10" t="inlineStr">
        <is>
          <t>M03</t>
        </is>
      </c>
      <c r="F5" s="10" t="inlineStr">
        <is>
          <t>M04</t>
        </is>
      </c>
      <c r="G5" s="10" t="inlineStr">
        <is>
          <t>M05</t>
        </is>
      </c>
      <c r="H5" s="10" t="inlineStr">
        <is>
          <t>M06</t>
        </is>
      </c>
      <c r="I5" s="10" t="inlineStr">
        <is>
          <t>M07</t>
        </is>
      </c>
      <c r="J5" s="10" t="inlineStr">
        <is>
          <t>M08</t>
        </is>
      </c>
      <c r="K5" s="10" t="inlineStr">
        <is>
          <t>M09</t>
        </is>
      </c>
      <c r="L5" s="10" t="inlineStr">
        <is>
          <t>M10</t>
        </is>
      </c>
      <c r="M5" s="10" t="inlineStr">
        <is>
          <t>M11</t>
        </is>
      </c>
      <c r="N5" s="10" t="inlineStr">
        <is>
          <t>M12</t>
        </is>
      </c>
      <c r="O5" s="10" t="inlineStr">
        <is>
          <t>M13</t>
        </is>
      </c>
      <c r="P5" s="10" t="inlineStr">
        <is>
          <t>M14</t>
        </is>
      </c>
      <c r="Q5" s="10" t="inlineStr">
        <is>
          <t>M15</t>
        </is>
      </c>
      <c r="R5" s="10" t="inlineStr">
        <is>
          <t>M16</t>
        </is>
      </c>
      <c r="S5" s="10" t="inlineStr">
        <is>
          <t>M17</t>
        </is>
      </c>
      <c r="T5" s="10" t="inlineStr">
        <is>
          <t>M18</t>
        </is>
      </c>
      <c r="U5" s="10" t="inlineStr">
        <is>
          <t>M19</t>
        </is>
      </c>
      <c r="V5" s="10" t="inlineStr">
        <is>
          <t>M20</t>
        </is>
      </c>
      <c r="W5" s="10" t="inlineStr">
        <is>
          <t>M21</t>
        </is>
      </c>
      <c r="X5" s="10" t="inlineStr">
        <is>
          <t>M22</t>
        </is>
      </c>
      <c r="Y5" s="10" t="inlineStr">
        <is>
          <t>M23</t>
        </is>
      </c>
      <c r="Z5" s="10" t="inlineStr">
        <is>
          <t>M24</t>
        </is>
      </c>
      <c r="AA5" s="10" t="inlineStr">
        <is>
          <t>M25</t>
        </is>
      </c>
      <c r="AB5" s="10" t="inlineStr">
        <is>
          <t>M26</t>
        </is>
      </c>
      <c r="AC5" s="10" t="inlineStr">
        <is>
          <t>M27</t>
        </is>
      </c>
      <c r="AD5" s="10" t="inlineStr">
        <is>
          <t>M28</t>
        </is>
      </c>
      <c r="AE5" s="10" t="inlineStr">
        <is>
          <t>M29</t>
        </is>
      </c>
      <c r="AF5" s="10" t="inlineStr">
        <is>
          <t>M30</t>
        </is>
      </c>
      <c r="AG5" s="10" t="inlineStr">
        <is>
          <t>M31</t>
        </is>
      </c>
      <c r="AH5" s="10" t="inlineStr">
        <is>
          <t>M32</t>
        </is>
      </c>
      <c r="AI5" s="10" t="inlineStr">
        <is>
          <t>M33</t>
        </is>
      </c>
      <c r="AJ5" s="10" t="inlineStr">
        <is>
          <t>M34</t>
        </is>
      </c>
      <c r="AK5" s="10" t="inlineStr">
        <is>
          <t>M35</t>
        </is>
      </c>
      <c r="AL5" s="10" t="inlineStr">
        <is>
          <t>M36</t>
        </is>
      </c>
    </row>
    <row r="6">
      <c r="A6" s="4" t="inlineStr">
        <is>
          <t>Monthly Operating EBITDA</t>
        </is>
      </c>
      <c r="B6" s="15" t="n">
        <v>0</v>
      </c>
      <c r="C6" s="14">
        <f>'Franchisee P&amp;L'!B15</f>
        <v/>
      </c>
      <c r="D6" s="14">
        <f>'Franchisee P&amp;L'!C15</f>
        <v/>
      </c>
      <c r="E6" s="14">
        <f>'Franchisee P&amp;L'!D15</f>
        <v/>
      </c>
      <c r="F6" s="14">
        <f>'Franchisee P&amp;L'!E15</f>
        <v/>
      </c>
      <c r="G6" s="14">
        <f>'Franchisee P&amp;L'!F15</f>
        <v/>
      </c>
      <c r="H6" s="14">
        <f>'Franchisee P&amp;L'!G15</f>
        <v/>
      </c>
      <c r="I6" s="14">
        <f>'Franchisee P&amp;L'!H15</f>
        <v/>
      </c>
      <c r="J6" s="14">
        <f>'Franchisee P&amp;L'!I15</f>
        <v/>
      </c>
      <c r="K6" s="14">
        <f>'Franchisee P&amp;L'!J15</f>
        <v/>
      </c>
      <c r="L6" s="14">
        <f>'Franchisee P&amp;L'!K15</f>
        <v/>
      </c>
      <c r="M6" s="14">
        <f>'Franchisee P&amp;L'!L15</f>
        <v/>
      </c>
      <c r="N6" s="14">
        <f>'Franchisee P&amp;L'!M15</f>
        <v/>
      </c>
      <c r="O6" s="14">
        <f>'Franchisee P&amp;L'!N15</f>
        <v/>
      </c>
      <c r="P6" s="14">
        <f>'Franchisee P&amp;L'!O15</f>
        <v/>
      </c>
      <c r="Q6" s="14">
        <f>'Franchisee P&amp;L'!P15</f>
        <v/>
      </c>
      <c r="R6" s="14">
        <f>'Franchisee P&amp;L'!Q15</f>
        <v/>
      </c>
      <c r="S6" s="14">
        <f>'Franchisee P&amp;L'!R15</f>
        <v/>
      </c>
      <c r="T6" s="14">
        <f>'Franchisee P&amp;L'!S15</f>
        <v/>
      </c>
      <c r="U6" s="14">
        <f>'Franchisee P&amp;L'!T15</f>
        <v/>
      </c>
      <c r="V6" s="14">
        <f>'Franchisee P&amp;L'!U15</f>
        <v/>
      </c>
      <c r="W6" s="14">
        <f>'Franchisee P&amp;L'!V15</f>
        <v/>
      </c>
      <c r="X6" s="14">
        <f>'Franchisee P&amp;L'!W15</f>
        <v/>
      </c>
      <c r="Y6" s="14">
        <f>'Franchisee P&amp;L'!X15</f>
        <v/>
      </c>
      <c r="Z6" s="14">
        <f>'Franchisee P&amp;L'!Y15</f>
        <v/>
      </c>
      <c r="AA6" s="14">
        <f>'Franchisee P&amp;L'!Z15</f>
        <v/>
      </c>
      <c r="AB6" s="14">
        <f>'Franchisee P&amp;L'!AA15</f>
        <v/>
      </c>
      <c r="AC6" s="14">
        <f>'Franchisee P&amp;L'!AB15</f>
        <v/>
      </c>
      <c r="AD6" s="14">
        <f>'Franchisee P&amp;L'!AC15</f>
        <v/>
      </c>
      <c r="AE6" s="14">
        <f>'Franchisee P&amp;L'!AD15</f>
        <v/>
      </c>
      <c r="AF6" s="14">
        <f>'Franchisee P&amp;L'!AE15</f>
        <v/>
      </c>
      <c r="AG6" s="14">
        <f>'Franchisee P&amp;L'!AF15</f>
        <v/>
      </c>
      <c r="AH6" s="14">
        <f>'Franchisee P&amp;L'!AG15</f>
        <v/>
      </c>
      <c r="AI6" s="14">
        <f>'Franchisee P&amp;L'!AH15</f>
        <v/>
      </c>
      <c r="AJ6" s="14">
        <f>'Franchisee P&amp;L'!AI15</f>
        <v/>
      </c>
      <c r="AK6" s="14">
        <f>'Franchisee P&amp;L'!AJ15</f>
        <v/>
      </c>
      <c r="AL6" s="14">
        <f>'Franchisee P&amp;L'!AK15</f>
        <v/>
      </c>
    </row>
    <row r="7">
      <c r="A7" s="1" t="inlineStr">
        <is>
          <t>CUMULATIVE NET CASH POSITION</t>
        </is>
      </c>
      <c r="B7" s="14">
        <f>-'Franchise Investment'!$C$15</f>
        <v/>
      </c>
      <c r="C7" s="18">
        <f>B7+C6</f>
        <v/>
      </c>
      <c r="D7" s="18">
        <f>C7+D6</f>
        <v/>
      </c>
      <c r="E7" s="18">
        <f>D7+E6</f>
        <v/>
      </c>
      <c r="F7" s="18">
        <f>E7+F6</f>
        <v/>
      </c>
      <c r="G7" s="18">
        <f>F7+G6</f>
        <v/>
      </c>
      <c r="H7" s="18">
        <f>G7+H6</f>
        <v/>
      </c>
      <c r="I7" s="18">
        <f>H7+I6</f>
        <v/>
      </c>
      <c r="J7" s="18">
        <f>I7+J6</f>
        <v/>
      </c>
      <c r="K7" s="18">
        <f>J7+K6</f>
        <v/>
      </c>
      <c r="L7" s="18">
        <f>K7+L6</f>
        <v/>
      </c>
      <c r="M7" s="18">
        <f>L7+M6</f>
        <v/>
      </c>
      <c r="N7" s="18">
        <f>M7+N6</f>
        <v/>
      </c>
      <c r="O7" s="18">
        <f>N7+O6</f>
        <v/>
      </c>
      <c r="P7" s="18">
        <f>O7+P6</f>
        <v/>
      </c>
      <c r="Q7" s="18">
        <f>P7+Q6</f>
        <v/>
      </c>
      <c r="R7" s="18">
        <f>Q7+R6</f>
        <v/>
      </c>
      <c r="S7" s="18">
        <f>R7+S6</f>
        <v/>
      </c>
      <c r="T7" s="18">
        <f>S7+T6</f>
        <v/>
      </c>
      <c r="U7" s="18">
        <f>T7+U6</f>
        <v/>
      </c>
      <c r="V7" s="18">
        <f>U7+V6</f>
        <v/>
      </c>
      <c r="W7" s="18">
        <f>V7+W6</f>
        <v/>
      </c>
      <c r="X7" s="18">
        <f>W7+X6</f>
        <v/>
      </c>
      <c r="Y7" s="18">
        <f>X7+Y6</f>
        <v/>
      </c>
      <c r="Z7" s="18">
        <f>Y7+Z6</f>
        <v/>
      </c>
      <c r="AA7" s="18">
        <f>Z7+AA6</f>
        <v/>
      </c>
      <c r="AB7" s="18">
        <f>AA7+AB6</f>
        <v/>
      </c>
      <c r="AC7" s="18">
        <f>AB7+AC6</f>
        <v/>
      </c>
      <c r="AD7" s="18">
        <f>AC7+AD6</f>
        <v/>
      </c>
      <c r="AE7" s="18">
        <f>AD7+AE6</f>
        <v/>
      </c>
      <c r="AF7" s="18">
        <f>AE7+AF6</f>
        <v/>
      </c>
      <c r="AG7" s="18">
        <f>AF7+AG6</f>
        <v/>
      </c>
      <c r="AH7" s="18">
        <f>AG7+AH6</f>
        <v/>
      </c>
      <c r="AI7" s="18">
        <f>AH7+AI6</f>
        <v/>
      </c>
      <c r="AJ7" s="18">
        <f>AI7+AJ6</f>
        <v/>
      </c>
      <c r="AK7" s="18">
        <f>AJ7+AK6</f>
        <v/>
      </c>
      <c r="AL7" s="18">
        <f>AK7+AL6</f>
        <v/>
      </c>
    </row>
    <row r="8"/>
    <row r="9"/>
    <row r="10"/>
    <row r="11">
      <c r="A11" s="9" t="inlineStr">
        <is>
          <t>INVESTMENT RETURN SUMMARY</t>
        </is>
      </c>
    </row>
    <row r="12">
      <c r="A12" t="inlineStr">
        <is>
          <t>Initial Capital Invested</t>
        </is>
      </c>
      <c r="C12" s="14">
        <f>'Franchise Investment'!C15</f>
        <v/>
      </c>
    </row>
    <row r="13">
      <c r="A13" t="inlineStr">
        <is>
          <t>Total 36-Month Operating Cash Generated</t>
        </is>
      </c>
      <c r="C13" s="14">
        <f>SUM(C6:AL6)</f>
        <v/>
      </c>
    </row>
    <row r="14">
      <c r="A14" t="inlineStr">
        <is>
          <t>Estimated Payback Month</t>
        </is>
      </c>
      <c r="C14" s="4" t="inlineStr">
        <is>
          <t>Month 11 (Base Case)</t>
        </is>
      </c>
    </row>
    <row r="15">
      <c r="A15" t="inlineStr">
        <is>
          <t>36-Month Return on Investment (ROI)</t>
        </is>
      </c>
      <c r="C15" s="30">
        <f>(C13-C12)/C12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30" customWidth="1" min="3" max="3"/>
    <col width="35" customWidth="1" min="4" max="4"/>
  </cols>
  <sheetData>
    <row r="1">
      <c r="A1" s="1" t="inlineStr">
        <is>
          <t>Franchisee Operational Break-Even Sensitivity</t>
        </is>
      </c>
    </row>
    <row r="2">
      <c r="A2" s="2" t="inlineStr">
        <is>
          <t>Calculates exact product unit sales required per month to clear all fixed operating costs.</t>
        </is>
      </c>
    </row>
    <row r="3"/>
    <row r="4"/>
    <row r="5">
      <c r="A5" s="10" t="inlineStr">
        <is>
          <t>Break-Even Parameter</t>
        </is>
      </c>
      <c r="B5" s="10" t="inlineStr">
        <is>
          <t>Cell Reference</t>
        </is>
      </c>
      <c r="C5" s="10" t="inlineStr">
        <is>
          <t>Value</t>
        </is>
      </c>
      <c r="D5" s="10" t="inlineStr">
        <is>
          <t>Unit</t>
        </is>
      </c>
    </row>
    <row r="6">
      <c r="A6" s="4" t="inlineStr">
        <is>
          <t>Monthly Fixed Operating Overhead</t>
        </is>
      </c>
      <c r="B6" s="7">
        <f>Assumptions!C20</f>
        <v/>
      </c>
      <c r="C6" s="14">
        <f>Assumptions!C20</f>
        <v/>
      </c>
      <c r="D6" s="6" t="inlineStr">
        <is>
          <t>INR / Month</t>
        </is>
      </c>
    </row>
    <row r="7">
      <c r="A7" s="4" t="inlineStr">
        <is>
          <t>Blended Average Product Net Price</t>
        </is>
      </c>
      <c r="B7" s="7">
        <f>'Product Pricing'!E12</f>
        <v/>
      </c>
      <c r="C7" s="14">
        <f>'Product Pricing'!E12</f>
        <v/>
      </c>
      <c r="D7" s="6" t="inlineStr">
        <is>
          <t>INR / Unit</t>
        </is>
      </c>
    </row>
    <row r="8">
      <c r="A8" s="4" t="inlineStr">
        <is>
          <t>Franchisee Commission Share %</t>
        </is>
      </c>
      <c r="B8" s="7">
        <f>Assumptions!C23</f>
        <v/>
      </c>
      <c r="C8" s="31">
        <f>Assumptions!C23</f>
        <v/>
      </c>
      <c r="D8" s="6" t="inlineStr">
        <is>
          <t>Percentage</t>
        </is>
      </c>
    </row>
    <row r="9">
      <c r="A9" s="4" t="inlineStr">
        <is>
          <t>Franchisee Commission per Average Unit Sale</t>
        </is>
      </c>
      <c r="B9" s="7">
        <f>C7*C6</f>
        <v/>
      </c>
      <c r="C9" s="14">
        <f>C7*C6</f>
        <v/>
      </c>
      <c r="D9" s="6" t="inlineStr">
        <is>
          <t>INR / Sale</t>
        </is>
      </c>
    </row>
    <row r="10">
      <c r="A10" s="4" t="inlineStr">
        <is>
          <t>MONTHLY BREAK-EVEN UNIT SALES</t>
        </is>
      </c>
      <c r="B10" s="7">
        <f>C5/C8</f>
        <v/>
      </c>
      <c r="C10" s="32">
        <f>C5/C8</f>
        <v/>
      </c>
      <c r="D10" s="6" t="inlineStr">
        <is>
          <t>Units / Month</t>
        </is>
      </c>
    </row>
    <row r="11"/>
    <row r="12"/>
    <row r="13">
      <c r="A13" s="9" t="inlineStr">
        <is>
          <t>Break-Even Sales Units by Specific Product (If Selling Only One Product)</t>
        </is>
      </c>
    </row>
    <row r="14"/>
    <row r="15">
      <c r="A15" s="10" t="inlineStr">
        <is>
          <t>Product Name</t>
        </is>
      </c>
      <c r="B15" s="10" t="inlineStr">
        <is>
          <t>Net Price</t>
        </is>
      </c>
      <c r="C15" s="10" t="inlineStr">
        <is>
          <t>Franchisee Commission (40%)</t>
        </is>
      </c>
      <c r="D15" s="10" t="inlineStr">
        <is>
          <t>Required Monthly Units to Break Even</t>
        </is>
      </c>
    </row>
    <row r="16">
      <c r="A16" s="4">
        <f>'Product Pricing'!B6</f>
        <v/>
      </c>
      <c r="B16" s="15">
        <f>'Product Pricing'!E6</f>
        <v/>
      </c>
      <c r="C16" s="15">
        <f>'Product Pricing'!H6</f>
        <v/>
      </c>
      <c r="D16" s="33">
        <f>Assumptions!$C$20/'Product Pricing'!H6</f>
        <v/>
      </c>
    </row>
    <row r="17">
      <c r="A17" s="4">
        <f>'Product Pricing'!B7</f>
        <v/>
      </c>
      <c r="B17" s="15">
        <f>'Product Pricing'!E7</f>
        <v/>
      </c>
      <c r="C17" s="15">
        <f>'Product Pricing'!H7</f>
        <v/>
      </c>
      <c r="D17" s="33">
        <f>Assumptions!$C$20/'Product Pricing'!H7</f>
        <v/>
      </c>
    </row>
    <row r="18">
      <c r="A18" s="4">
        <f>'Product Pricing'!B8</f>
        <v/>
      </c>
      <c r="B18" s="15">
        <f>'Product Pricing'!E8</f>
        <v/>
      </c>
      <c r="C18" s="15">
        <f>'Product Pricing'!H8</f>
        <v/>
      </c>
      <c r="D18" s="33">
        <f>Assumptions!$C$20/'Product Pricing'!H8</f>
        <v/>
      </c>
    </row>
    <row r="19">
      <c r="A19" s="4">
        <f>'Product Pricing'!B9</f>
        <v/>
      </c>
      <c r="B19" s="15">
        <f>'Product Pricing'!E9</f>
        <v/>
      </c>
      <c r="C19" s="15">
        <f>'Product Pricing'!H9</f>
        <v/>
      </c>
      <c r="D19" s="33">
        <f>Assumptions!$C$20/'Product Pricing'!H9</f>
        <v/>
      </c>
    </row>
    <row r="20">
      <c r="A20" s="4">
        <f>'Product Pricing'!B10</f>
        <v/>
      </c>
      <c r="B20" s="15">
        <f>'Product Pricing'!E10</f>
        <v/>
      </c>
      <c r="C20" s="15">
        <f>'Product Pricing'!H10</f>
        <v/>
      </c>
      <c r="D20" s="33">
        <f>Assumptions!$C$20/'Product Pricing'!H10</f>
        <v/>
      </c>
    </row>
    <row r="21">
      <c r="A21" s="4">
        <f>'Product Pricing'!B11</f>
        <v/>
      </c>
      <c r="B21" s="15">
        <f>'Product Pricing'!E11</f>
        <v/>
      </c>
      <c r="C21" s="15">
        <f>'Product Pricing'!H11</f>
        <v/>
      </c>
      <c r="D21" s="33">
        <f>Assumptions!$C$20/'Product Pricing'!H11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38" customWidth="1" min="4" max="4"/>
    <col width="38" customWidth="1" min="5" max="5"/>
  </cols>
  <sheetData>
    <row r="1">
      <c r="A1" s="1" t="inlineStr">
        <is>
          <t>Multi-Scenario Sensitivity Matrix (Conservative vs. Base vs. Optimistic)</t>
        </is>
      </c>
    </row>
    <row r="2">
      <c r="A2" s="2" t="inlineStr">
        <is>
          <t>Evaluates downside risk, realistic target, and high-performance expansion trajectories.</t>
        </is>
      </c>
    </row>
    <row r="3"/>
    <row r="4"/>
    <row r="5">
      <c r="A5" s="3" t="inlineStr">
        <is>
          <t>Operating Metric</t>
        </is>
      </c>
      <c r="B5" s="3" t="inlineStr">
        <is>
          <t>Conservative (Downside)</t>
        </is>
      </c>
      <c r="C5" s="3" t="inlineStr">
        <is>
          <t>Base Case (Target)</t>
        </is>
      </c>
      <c r="D5" s="3" t="inlineStr">
        <is>
          <t>Optimistic (High Performance)</t>
        </is>
      </c>
      <c r="E5" s="3" t="inlineStr">
        <is>
          <t>Variance Analysis &amp; Sensitivity Notes</t>
        </is>
      </c>
    </row>
    <row r="6">
      <c r="A6" s="4" t="inlineStr">
        <is>
          <t>Monthly Stabilized Sales Velocity</t>
        </is>
      </c>
      <c r="B6" s="7" t="inlineStr">
        <is>
          <t>1.5 Units / Month</t>
        </is>
      </c>
      <c r="C6" s="34" t="inlineStr">
        <is>
          <t>3.0 Units / Month</t>
        </is>
      </c>
      <c r="D6" s="7" t="inlineStr">
        <is>
          <t>5.0 Units / Month</t>
        </is>
      </c>
      <c r="E6" s="6" t="inlineStr">
        <is>
          <t>Reflects sales cycle length and lead volume</t>
        </is>
      </c>
    </row>
    <row r="7">
      <c r="A7" s="4" t="inlineStr">
        <is>
          <t>Annual Customer Renewal Rate</t>
        </is>
      </c>
      <c r="B7" s="7" t="inlineStr">
        <is>
          <t>70.0%</t>
        </is>
      </c>
      <c r="C7" s="34" t="inlineStr">
        <is>
          <t>85.0%</t>
        </is>
      </c>
      <c r="D7" s="7" t="inlineStr">
        <is>
          <t>92.0%</t>
        </is>
      </c>
      <c r="E7" s="6" t="inlineStr">
        <is>
          <t>Impact of customer satisfaction &amp; ongoing support</t>
        </is>
      </c>
    </row>
    <row r="8">
      <c r="A8" s="4" t="inlineStr">
        <is>
          <t>Sales Ramp-Up Period</t>
        </is>
      </c>
      <c r="B8" s="7" t="inlineStr">
        <is>
          <t>5 Months</t>
        </is>
      </c>
      <c r="C8" s="34" t="inlineStr">
        <is>
          <t>3 Months</t>
        </is>
      </c>
      <c r="D8" s="7" t="inlineStr">
        <is>
          <t>2 Months</t>
        </is>
      </c>
      <c r="E8" s="6" t="inlineStr">
        <is>
          <t>Time required for salesperson productivity</t>
        </is>
      </c>
    </row>
    <row r="9">
      <c r="A9" s="4" t="inlineStr">
        <is>
          <t>Year 1 Total Net Billings</t>
        </is>
      </c>
      <c r="B9" s="7" t="inlineStr">
        <is>
          <t>₹6,48,000</t>
        </is>
      </c>
      <c r="C9" s="34" t="inlineStr">
        <is>
          <t>₹14,85,000</t>
        </is>
      </c>
      <c r="D9" s="7" t="inlineStr">
        <is>
          <t>₹26,40,000</t>
        </is>
      </c>
      <c r="E9" s="6" t="inlineStr">
        <is>
          <t>Annualized customer license revenue</t>
        </is>
      </c>
    </row>
    <row r="10">
      <c r="A10" s="4" t="inlineStr">
        <is>
          <t>Year 1 Franchisee Commission</t>
        </is>
      </c>
      <c r="B10" s="7" t="inlineStr">
        <is>
          <t>₹2,59,200</t>
        </is>
      </c>
      <c r="C10" s="34" t="inlineStr">
        <is>
          <t>₹5,94,000</t>
        </is>
      </c>
      <c r="D10" s="7" t="inlineStr">
        <is>
          <t>₹10,56,000</t>
        </is>
      </c>
      <c r="E10" s="6" t="inlineStr">
        <is>
          <t>40% net revenue share</t>
        </is>
      </c>
    </row>
    <row r="11">
      <c r="A11" s="4" t="inlineStr">
        <is>
          <t>Franchisee Year 1 Operating EBITDA</t>
        </is>
      </c>
      <c r="B11" s="7" t="inlineStr">
        <is>
          <t>-(₹1,36,800)</t>
        </is>
      </c>
      <c r="C11" s="34" t="inlineStr">
        <is>
          <t>₹1,98,000</t>
        </is>
      </c>
      <c r="D11" s="7" t="inlineStr">
        <is>
          <t>₹6,60,000</t>
        </is>
      </c>
      <c r="E11" s="6" t="inlineStr">
        <is>
          <t>Net profit after ₹3.96L annual OpEx</t>
        </is>
      </c>
    </row>
    <row r="12">
      <c r="A12" s="4" t="inlineStr">
        <is>
          <t>Projected Payback Period</t>
        </is>
      </c>
      <c r="B12" s="7" t="inlineStr">
        <is>
          <t>22 Months</t>
        </is>
      </c>
      <c r="C12" s="34" t="inlineStr">
        <is>
          <t>11 Months</t>
        </is>
      </c>
      <c r="D12" s="7" t="inlineStr">
        <is>
          <t>6 Months</t>
        </is>
      </c>
      <c r="E12" s="6" t="inlineStr">
        <is>
          <t>Recovery of initial ₹3.26L capital outlay</t>
        </is>
      </c>
    </row>
    <row r="13">
      <c r="A13" s="4" t="inlineStr">
        <is>
          <t>36-Month Cumulative EBITDA</t>
        </is>
      </c>
      <c r="B13" s="7" t="inlineStr">
        <is>
          <t>₹3,42,000</t>
        </is>
      </c>
      <c r="C13" s="34" t="inlineStr">
        <is>
          <t>₹14,86,000</t>
        </is>
      </c>
      <c r="D13" s="7" t="inlineStr">
        <is>
          <t>₹32,40,000</t>
        </is>
      </c>
      <c r="E13" s="6" t="inlineStr">
        <is>
          <t>Three-year total cash accumulation</t>
        </is>
      </c>
    </row>
    <row r="14">
      <c r="A14" s="4" t="inlineStr">
        <is>
          <t>36-Month ROI</t>
        </is>
      </c>
      <c r="B14" s="7" t="inlineStr">
        <is>
          <t>5.0%</t>
        </is>
      </c>
      <c r="C14" s="34" t="inlineStr">
        <is>
          <t>355.8%</t>
        </is>
      </c>
      <c r="D14" s="7" t="inlineStr">
        <is>
          <t>893.8%</t>
        </is>
      </c>
      <c r="E14" s="6" t="inlineStr">
        <is>
          <t>Total profit relative to upfront initial investment</t>
        </is>
      </c>
    </row>
    <row r="15">
      <c r="A15" s="4" t="inlineStr">
        <is>
          <t>Risk Assessment &amp; Solvency</t>
        </is>
      </c>
      <c r="B15" s="7" t="inlineStr">
        <is>
          <t>Watchlist: Requires 6M reserve</t>
        </is>
      </c>
      <c r="C15" s="34" t="inlineStr">
        <is>
          <t>Healthy: Low risk, target model</t>
        </is>
      </c>
      <c r="D15" s="7" t="inlineStr">
        <is>
          <t>Exceptional: Accelerate territory expansion</t>
        </is>
      </c>
      <c r="E15" s="6" t="inlineStr">
        <is>
          <t>Continuous solvency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2026-10-26T12:33:10Z</dcterms:created>
  <dcterms:modified xmlns:dcterms="http://purl.org/dc/terms/" xmlns:xsi="http://www.w3.org/2001/XMLSchema-instance" xsi:type="dcterms:W3CDTF">2026-10-26T12:33:10Z</dcterms:modified>
</cp:coreProperties>
</file>